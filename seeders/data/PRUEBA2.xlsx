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2"/>
    <sheet name="comisiones" sheetId="2" state="visible" r:id="rId3"/>
  </sheets>
  <definedNames>
    <definedName function="false" hidden="false" localSheetId="0" name="Z_FDA22B44_EA5D_4E1B_A7DD_7C0CD2904B23_.wvu.FilterData" vbProcedure="false">Hoja1!$A$1:$AD$285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<sst xmlns="http://schemas.openxmlformats.org/spreadsheetml/2006/main" count="3665" uniqueCount="495">
  <si>
    <t xml:space="preserve">APELLIDO Y NOMBRE</t>
  </si>
  <si>
    <t xml:space="preserve">DNI</t>
  </si>
  <si>
    <t xml:space="preserve">MATERIA</t>
  </si>
  <si>
    <t xml:space="preserve">COMISIÓN</t>
  </si>
  <si>
    <t xml:space="preserve">DOCENTE</t>
  </si>
  <si>
    <t xml:space="preserve">DÍA</t>
  </si>
  <si>
    <t xml:space="preserve">DESDE</t>
  </si>
  <si>
    <t xml:space="preserve">HASTA</t>
  </si>
  <si>
    <t xml:space="preserve">ESPACIO</t>
  </si>
  <si>
    <t xml:space="preserve">EDIFICIO</t>
  </si>
  <si>
    <t xml:space="preserve">DÍAS DE CURSADA PRESENCIAL</t>
  </si>
  <si>
    <t xml:space="preserve">PARA ORDEN</t>
  </si>
  <si>
    <t xml:space="preserve">ABADIE, LUANA NEREA</t>
  </si>
  <si>
    <t xml:space="preserve">Taller de Pensamiento Matemático</t>
  </si>
  <si>
    <t xml:space="preserve">COMISIÓN_001-TM</t>
  </si>
  <si>
    <t xml:space="preserve">Lunes</t>
  </si>
  <si>
    <t xml:space="preserve">Taller de Vida Universitaria</t>
  </si>
  <si>
    <t xml:space="preserve">Taller de Lectura y Escritura</t>
  </si>
  <si>
    <t xml:space="preserve">ABALLAY GOMEZ, AGUSTIN NICOLAS</t>
  </si>
  <si>
    <t xml:space="preserve">ABALLAY, EMANUEL</t>
  </si>
  <si>
    <t xml:space="preserve">ABALLAY, Nadia</t>
  </si>
  <si>
    <t xml:space="preserve">ABALOS SOTELO, PABLO JAVIER</t>
  </si>
  <si>
    <t xml:space="preserve">ABALOS, TOMAS AGUSTIN</t>
  </si>
  <si>
    <t xml:space="preserve">ABALSAMO, JUAN MANUEL</t>
  </si>
  <si>
    <t xml:space="preserve">ABDALA, LUCIA MAILEN</t>
  </si>
  <si>
    <t xml:space="preserve">ABDELHAY, MAIA LUJÁN</t>
  </si>
  <si>
    <t xml:space="preserve">ABELENDA, NICOLAS ALEJANDRO</t>
  </si>
  <si>
    <t xml:space="preserve">ABLANEDO, MICAELA BEATRIZ</t>
  </si>
  <si>
    <t xml:space="preserve">ABRAHAM, MAGALI NEREA</t>
  </si>
  <si>
    <t xml:space="preserve">ABRAMOVICH, LUNA ROCIO</t>
  </si>
  <si>
    <t xml:space="preserve">ABREGO, LEILA KARINA MÓNICA</t>
  </si>
  <si>
    <t xml:space="preserve">ABREGO, MARÍA VICTORIA</t>
  </si>
  <si>
    <t xml:space="preserve">ABREGU, EMILY FABIANA</t>
  </si>
  <si>
    <t xml:space="preserve">ABREGU, LUCÍA DIANA</t>
  </si>
  <si>
    <t xml:space="preserve">ABREGU, ROMINA AYLEN</t>
  </si>
  <si>
    <t xml:space="preserve">ACEBEY BALDERRAMA, LORENA PAOLA</t>
  </si>
  <si>
    <t xml:space="preserve">ACERBO VARELA, MARIA DEL CARMEN</t>
  </si>
  <si>
    <t xml:space="preserve">ACEVEDO MAIDANA, TOMAS LUCA</t>
  </si>
  <si>
    <t xml:space="preserve">ACEVEDO, CAMILO MARTIN</t>
  </si>
  <si>
    <t xml:space="preserve">ACEVEDO, FEDERICO AGUSTÍN</t>
  </si>
  <si>
    <t xml:space="preserve">ACEVEDO, LARA VICTORIA</t>
  </si>
  <si>
    <t xml:space="preserve">ACEVEDO, LEANDRO EZEQUIEL</t>
  </si>
  <si>
    <t xml:space="preserve">ACEVEDO, LEANDRO NICOLáS</t>
  </si>
  <si>
    <t xml:space="preserve">ACEVEDO, MARTIN LEANDRO</t>
  </si>
  <si>
    <t xml:space="preserve">ACEVEDO, MATEO DANIEL</t>
  </si>
  <si>
    <t xml:space="preserve">ACEVEDO, MELISA PAULA</t>
  </si>
  <si>
    <t xml:space="preserve">ACEVEDO, MORA ABRIL</t>
  </si>
  <si>
    <t xml:space="preserve">ACEVEY, DANILO LEON ISAURO</t>
  </si>
  <si>
    <t xml:space="preserve">ACHAVAL, NANCY FABIANA</t>
  </si>
  <si>
    <t xml:space="preserve">ACHINELLI, MARCOS CATRIEL</t>
  </si>
  <si>
    <t xml:space="preserve">ACO, MICAELA CELESTE</t>
  </si>
  <si>
    <t xml:space="preserve">ACOSTA AMARILLA, PAULA</t>
  </si>
  <si>
    <t xml:space="preserve">ACOSTA BLENGINO, JAZMÍN QUIMEY</t>
  </si>
  <si>
    <t xml:space="preserve">ACOSTA CHARES, MARIA ANTONELLA</t>
  </si>
  <si>
    <t xml:space="preserve">ACOSTA GONZALEZ, ELIAS SANTIAGO</t>
  </si>
  <si>
    <t xml:space="preserve">ACOSTA YEGROS, MARTINA</t>
  </si>
  <si>
    <t xml:space="preserve">ACOSTA, AGUSTIN MATIAS</t>
  </si>
  <si>
    <t xml:space="preserve">ACOSTA, AGUSTINA NICOLE</t>
  </si>
  <si>
    <t xml:space="preserve">ACOSTA, alejandra</t>
  </si>
  <si>
    <t xml:space="preserve">ACOSTA, ARIANA</t>
  </si>
  <si>
    <t xml:space="preserve">ACOSTA, BENJAMIN</t>
  </si>
  <si>
    <t xml:space="preserve">ACOSTA, BRANDON LEONEL</t>
  </si>
  <si>
    <t xml:space="preserve">ACOSTA, BRENDA GISELE</t>
  </si>
  <si>
    <t xml:space="preserve">ACOSTA, CARLA NATALIA</t>
  </si>
  <si>
    <t xml:space="preserve">ACOSTA, CLAUDIA ALEJANDRA</t>
  </si>
  <si>
    <t xml:space="preserve">ACOSTA, ELISEO GABRIEL</t>
  </si>
  <si>
    <t xml:space="preserve">ACOSTA, Ely</t>
  </si>
  <si>
    <t xml:space="preserve">ACOSTA, EZEQUIEL</t>
  </si>
  <si>
    <t xml:space="preserve">ACOSTA, FACUNDO</t>
  </si>
  <si>
    <t xml:space="preserve">ACOSTA, GISELA MARIANA</t>
  </si>
  <si>
    <t xml:space="preserve">ACOSTA, IVAN EZEQUIEL</t>
  </si>
  <si>
    <t xml:space="preserve">ACOSTA, JOEL LAUTARO</t>
  </si>
  <si>
    <t xml:space="preserve">ACOSTA, JOHANNA SOLEDAD</t>
  </si>
  <si>
    <t xml:space="preserve">ACOSTA, JUAN CRUZ</t>
  </si>
  <si>
    <t xml:space="preserve">ACOSTA, JUAN IGNACIO</t>
  </si>
  <si>
    <t xml:space="preserve">COMISIÓN_002-TM</t>
  </si>
  <si>
    <t xml:space="preserve">ACOSTA, KEVIN MIGUEL</t>
  </si>
  <si>
    <t xml:space="preserve">ACOSTA, LARA MAITENA</t>
  </si>
  <si>
    <t xml:space="preserve">ACOSTA, LEANDRO</t>
  </si>
  <si>
    <t xml:space="preserve">ACOSTA, LUDMILA NAHIR</t>
  </si>
  <si>
    <t xml:space="preserve">ACOSTA, LUZ ANAHI</t>
  </si>
  <si>
    <t xml:space="preserve">ACOSTA, MARTINA AILEN</t>
  </si>
  <si>
    <t xml:space="preserve">ACOSTA, MATÍAS EMMANUEL</t>
  </si>
  <si>
    <t xml:space="preserve">ACOSTA, MATIAS JOAQUIN</t>
  </si>
  <si>
    <t xml:space="preserve">ACOSTA, MATIAS NICOLAS</t>
  </si>
  <si>
    <t xml:space="preserve">ACOSTA, MIA AGOSTINA</t>
  </si>
  <si>
    <t xml:space="preserve">ACOSTA, MICAELA</t>
  </si>
  <si>
    <t xml:space="preserve">Acosta, NAHUEL</t>
  </si>
  <si>
    <t xml:space="preserve">ACOSTA, NAHUEL MARCELO</t>
  </si>
  <si>
    <t xml:space="preserve">ACOSTA, PAULA ANDREA</t>
  </si>
  <si>
    <t xml:space="preserve">ACOSTA, RAMIRO EZEQUIEL</t>
  </si>
  <si>
    <t xml:space="preserve">ACOSTA, RIGO IVAN</t>
  </si>
  <si>
    <t xml:space="preserve">ACOSTA, RODRIGO</t>
  </si>
  <si>
    <t xml:space="preserve">Martes</t>
  </si>
  <si>
    <t xml:space="preserve">ACOSTA, SALMA MURIEL ARIADNA</t>
  </si>
  <si>
    <t xml:space="preserve">ACOSTA, SELENA NICOLE</t>
  </si>
  <si>
    <t xml:space="preserve">ACOSTA, SOFIA MORA</t>
  </si>
  <si>
    <t xml:space="preserve">ACUÑA ALGARAÑAZ, BRAIAN DAVID</t>
  </si>
  <si>
    <t xml:space="preserve">ACUÑA ANTONELLIS, TATIANA NICOLE</t>
  </si>
  <si>
    <t xml:space="preserve">ACUÑA FLORES, MATEO JOEL</t>
  </si>
  <si>
    <t xml:space="preserve">ACUÑA MARTINEZ, LUCA EMANUEL</t>
  </si>
  <si>
    <t xml:space="preserve">ACUÑA RODRIGUEZ, NATALIA ROMINA</t>
  </si>
  <si>
    <t xml:space="preserve">ACUÑA SANDOVAL, GUILLERMO DANIEL</t>
  </si>
  <si>
    <t xml:space="preserve">ACUÑA, AGOSTINA DENISE</t>
  </si>
  <si>
    <t xml:space="preserve">ACUÑA, ANIBAL OSCAR</t>
  </si>
  <si>
    <t xml:space="preserve">ACUÑA, EMILIANO BENJAMIN</t>
  </si>
  <si>
    <t xml:space="preserve">ACUÑA, INGRID PAMELA</t>
  </si>
  <si>
    <t xml:space="preserve">ACUÑA, LUCIANO EZEQUIEL</t>
  </si>
  <si>
    <t xml:space="preserve">ACUÑA, LUCIANO ISMAEL</t>
  </si>
  <si>
    <t xml:space="preserve">ACUÑA, MALENA</t>
  </si>
  <si>
    <t xml:space="preserve">ACUÑA, NADINE VALENTINA</t>
  </si>
  <si>
    <t xml:space="preserve">ACUÑA, NAHIR MATIAS</t>
  </si>
  <si>
    <t xml:space="preserve">ACUÑA, NARA BELEN</t>
  </si>
  <si>
    <t xml:space="preserve">ACUÑA, OCTAVIO ZACARIAS</t>
  </si>
  <si>
    <t xml:space="preserve">ACUÑA, SANTIAGO</t>
  </si>
  <si>
    <t xml:space="preserve">ACUÑA, SOFÍA AYLEN</t>
  </si>
  <si>
    <t xml:space="preserve">ACUÑA, SOFÍA DELFINA</t>
  </si>
  <si>
    <t xml:space="preserve">ADAMSKI, INGRID NAHIR</t>
  </si>
  <si>
    <t xml:space="preserve">Comision</t>
  </si>
  <si>
    <t xml:space="preserve">Docente</t>
  </si>
  <si>
    <t xml:space="preserve">Desde</t>
  </si>
  <si>
    <t xml:space="preserve">Hasta</t>
  </si>
  <si>
    <t xml:space="preserve">Espacio</t>
  </si>
  <si>
    <t xml:space="preserve">Edificio</t>
  </si>
  <si>
    <t xml:space="preserve">Actividad</t>
  </si>
  <si>
    <t xml:space="preserve">Dia</t>
  </si>
  <si>
    <t xml:space="preserve">Mejuto Ivana</t>
  </si>
  <si>
    <t xml:space="preserve">AULA JS-004-</t>
  </si>
  <si>
    <t xml:space="preserve">JUSTICIA SOCIAL</t>
  </si>
  <si>
    <t xml:space="preserve">Ibañez Adela</t>
  </si>
  <si>
    <t xml:space="preserve">Sábado</t>
  </si>
  <si>
    <t xml:space="preserve">Mannocchi Valentina</t>
  </si>
  <si>
    <t xml:space="preserve">Jueves</t>
  </si>
  <si>
    <t xml:space="preserve">AULA JS-006-</t>
  </si>
  <si>
    <t xml:space="preserve">Fariña Silvana Mariel</t>
  </si>
  <si>
    <t xml:space="preserve">Spanu Florencia Belén</t>
  </si>
  <si>
    <t xml:space="preserve">COMISIÓN_003-TM</t>
  </si>
  <si>
    <t xml:space="preserve">Galesi Nahuel Sebastian</t>
  </si>
  <si>
    <t xml:space="preserve">AULA JS-007-</t>
  </si>
  <si>
    <t xml:space="preserve">Martinez Elsa Fabiana</t>
  </si>
  <si>
    <t xml:space="preserve">Bianco Andrea Fabiani</t>
  </si>
  <si>
    <t xml:space="preserve">jueves</t>
  </si>
  <si>
    <t xml:space="preserve">COMISIÓN_004-TM</t>
  </si>
  <si>
    <t xml:space="preserve">Luna Néstor Roberto</t>
  </si>
  <si>
    <t xml:space="preserve">AULA JS-008-</t>
  </si>
  <si>
    <t xml:space="preserve">Estrella Ricardo</t>
  </si>
  <si>
    <t xml:space="preserve">Sanchéz Gonzalo Mariano</t>
  </si>
  <si>
    <t xml:space="preserve">COMISIÓN_005-TM</t>
  </si>
  <si>
    <t xml:space="preserve">Ulrich María Sofía</t>
  </si>
  <si>
    <t xml:space="preserve">AULA JS-013-</t>
  </si>
  <si>
    <t xml:space="preserve">LUDWIG NOELIA MAGALÍ</t>
  </si>
  <si>
    <t xml:space="preserve">Santa Cruz Ana Laura</t>
  </si>
  <si>
    <t xml:space="preserve">COMISIÓN_006-TM</t>
  </si>
  <si>
    <t xml:space="preserve">AULA JS-014-</t>
  </si>
  <si>
    <t xml:space="preserve">Albornoz María Victoria</t>
  </si>
  <si>
    <t xml:space="preserve">COMISIÓN_007-TM</t>
  </si>
  <si>
    <t xml:space="preserve">Leguizamon Pablo</t>
  </si>
  <si>
    <t xml:space="preserve">AULA JS-015-</t>
  </si>
  <si>
    <t xml:space="preserve">Tejero Noelia Edith</t>
  </si>
  <si>
    <t xml:space="preserve">Nicolini de la Cuesta Leonardo</t>
  </si>
  <si>
    <t xml:space="preserve">COMISIÓN_008-TM</t>
  </si>
  <si>
    <t xml:space="preserve">AULA JS-021</t>
  </si>
  <si>
    <t xml:space="preserve">Perugini Stella Maris</t>
  </si>
  <si>
    <t xml:space="preserve">Vega Karen Solange</t>
  </si>
  <si>
    <t xml:space="preserve">COMISIÓN_009-TM</t>
  </si>
  <si>
    <t xml:space="preserve">Sierra Marcelo Daniel</t>
  </si>
  <si>
    <t xml:space="preserve">AULA JS-022</t>
  </si>
  <si>
    <t xml:space="preserve">Alvarez María de los Angeles</t>
  </si>
  <si>
    <t xml:space="preserve">Hernández Gianolini Keila Ailín</t>
  </si>
  <si>
    <t xml:space="preserve">COMISIÓN_010-TM</t>
  </si>
  <si>
    <t xml:space="preserve">Crespo Fabian Marcos</t>
  </si>
  <si>
    <t xml:space="preserve">AULA JS-101-</t>
  </si>
  <si>
    <t xml:space="preserve">Agostinelli Eugenia</t>
  </si>
  <si>
    <t xml:space="preserve">COMISIÓN_011-TM</t>
  </si>
  <si>
    <t xml:space="preserve">Robidú Claudia Alejandra</t>
  </si>
  <si>
    <t xml:space="preserve">AULA JS-102-</t>
  </si>
  <si>
    <t xml:space="preserve">Falero Lopez Fernanda Gabriela</t>
  </si>
  <si>
    <t xml:space="preserve">COMISIÓN_012-TM</t>
  </si>
  <si>
    <t xml:space="preserve">Polverini Ana Paula</t>
  </si>
  <si>
    <t xml:space="preserve">AULA JS-106-</t>
  </si>
  <si>
    <t xml:space="preserve">Jimena Soledad Baleani Robson</t>
  </si>
  <si>
    <t xml:space="preserve">COMISIÓN_013-TM</t>
  </si>
  <si>
    <t xml:space="preserve">Sarochar Elianaaula</t>
  </si>
  <si>
    <t xml:space="preserve">AULA JS-107-</t>
  </si>
  <si>
    <t xml:space="preserve">COMISIÓN_014-TM</t>
  </si>
  <si>
    <t xml:space="preserve">Quiroga Victoria Agustina</t>
  </si>
  <si>
    <t xml:space="preserve">AULA JS-113-</t>
  </si>
  <si>
    <t xml:space="preserve">Gonzalez Lilia</t>
  </si>
  <si>
    <t xml:space="preserve">Melo Luciana Valeria</t>
  </si>
  <si>
    <t xml:space="preserve">COMISIÓN_015-TM</t>
  </si>
  <si>
    <t xml:space="preserve">Alan Gabriel Badiali</t>
  </si>
  <si>
    <t xml:space="preserve">AULA JS-114-</t>
  </si>
  <si>
    <t xml:space="preserve">Valverde Yesica</t>
  </si>
  <si>
    <t xml:space="preserve">Santamaria Bárbara Yesica</t>
  </si>
  <si>
    <t xml:space="preserve">COMISIÓN_016-TM</t>
  </si>
  <si>
    <t xml:space="preserve">Metetiero Damian</t>
  </si>
  <si>
    <t xml:space="preserve">AULA JS-109-</t>
  </si>
  <si>
    <t xml:space="preserve">COMISIÓN_017-TM</t>
  </si>
  <si>
    <t xml:space="preserve">Schuldreich Talleda Lautaro Ramiro</t>
  </si>
  <si>
    <t xml:space="preserve">AULA JS-104-</t>
  </si>
  <si>
    <t xml:space="preserve">Sofía Patelli</t>
  </si>
  <si>
    <t xml:space="preserve">AULA TA-015</t>
  </si>
  <si>
    <t xml:space="preserve">TRABAJO ARGENTINO</t>
  </si>
  <si>
    <t xml:space="preserve">COMISIÓN_018-TM</t>
  </si>
  <si>
    <t xml:space="preserve">Malén Peñalba</t>
  </si>
  <si>
    <t xml:space="preserve">AULA TA-204</t>
  </si>
  <si>
    <t xml:space="preserve">Leguizamón Omar</t>
  </si>
  <si>
    <t xml:space="preserve">Tatche Carla</t>
  </si>
  <si>
    <t xml:space="preserve">COMISIÓN_019-TM</t>
  </si>
  <si>
    <t xml:space="preserve">Cannone Lorena Andrea</t>
  </si>
  <si>
    <t xml:space="preserve">AULA TA-205</t>
  </si>
  <si>
    <t xml:space="preserve">COMISIÓN_020-TM</t>
  </si>
  <si>
    <t xml:space="preserve">SCHIPELHUT, WANDA AILÉN</t>
  </si>
  <si>
    <t xml:space="preserve">AULA TA-208</t>
  </si>
  <si>
    <t xml:space="preserve">Franco, Stella Maris</t>
  </si>
  <si>
    <t xml:space="preserve">Mendez Julieta</t>
  </si>
  <si>
    <t xml:space="preserve">COMISIÓN_021-TM</t>
  </si>
  <si>
    <t xml:space="preserve">Jaime Victor Daniel</t>
  </si>
  <si>
    <t xml:space="preserve">AULA LP-103</t>
  </si>
  <si>
    <t xml:space="preserve">LA PATRIA</t>
  </si>
  <si>
    <t xml:space="preserve">Gubernievicz Adriana Patricia</t>
  </si>
  <si>
    <t xml:space="preserve">AULA GU-006</t>
  </si>
  <si>
    <t xml:space="preserve">GRATUIDAD UNIVERSITARIA</t>
  </si>
  <si>
    <t xml:space="preserve">Chavez Natalia Elizabeth</t>
  </si>
  <si>
    <t xml:space="preserve">COMISIÓN_022-TM</t>
  </si>
  <si>
    <t xml:space="preserve">Frutos Elizabeth</t>
  </si>
  <si>
    <t xml:space="preserve">AULA GU-007</t>
  </si>
  <si>
    <t xml:space="preserve">Gatti Yapur Joaquín Elías</t>
  </si>
  <si>
    <t xml:space="preserve">Chiattellino Micaela Luján</t>
  </si>
  <si>
    <t xml:space="preserve">COMISIÓN_023-TM</t>
  </si>
  <si>
    <t xml:space="preserve">Pradel Sabrina</t>
  </si>
  <si>
    <t xml:space="preserve">AULA JS-003-</t>
  </si>
  <si>
    <t xml:space="preserve">Machin Guido Maria</t>
  </si>
  <si>
    <t xml:space="preserve">COMISIÓN_024-TM</t>
  </si>
  <si>
    <t xml:space="preserve">Sanchis Vanina</t>
  </si>
  <si>
    <t xml:space="preserve">AULA GU-009</t>
  </si>
  <si>
    <t xml:space="preserve">Dilli Camila Noelia</t>
  </si>
  <si>
    <t xml:space="preserve">COMISIÓN_025-TM</t>
  </si>
  <si>
    <t xml:space="preserve">Gonzalez Maria Florencia</t>
  </si>
  <si>
    <t xml:space="preserve">AULA JS-108-</t>
  </si>
  <si>
    <t xml:space="preserve">miércoles</t>
  </si>
  <si>
    <t xml:space="preserve">Peñalba Lara Sofia</t>
  </si>
  <si>
    <t xml:space="preserve">COMISIÓN_026-TM</t>
  </si>
  <si>
    <t xml:space="preserve">AULA GU-103</t>
  </si>
  <si>
    <t xml:space="preserve">Ricciardi, Juan Jesus</t>
  </si>
  <si>
    <t xml:space="preserve">COMISIÓN_027-TM</t>
  </si>
  <si>
    <t xml:space="preserve">AULA GU-104</t>
  </si>
  <si>
    <t xml:space="preserve">Villarruel Nora Beatriz</t>
  </si>
  <si>
    <t xml:space="preserve">COMISIÓN_028-TM</t>
  </si>
  <si>
    <t xml:space="preserve">Acosta Morreale, Florencia Victoria</t>
  </si>
  <si>
    <t xml:space="preserve">AULA GU-105</t>
  </si>
  <si>
    <t xml:space="preserve">Mercado Milagros Abril</t>
  </si>
  <si>
    <t xml:space="preserve">Quiroga Fernanda</t>
  </si>
  <si>
    <t xml:space="preserve">COMISIÓN_029-TM</t>
  </si>
  <si>
    <t xml:space="preserve">AULA GU-106</t>
  </si>
  <si>
    <t xml:space="preserve">Sánchez Varela Natalia Soledad</t>
  </si>
  <si>
    <t xml:space="preserve">Fernandez Dobler Maria Florencia</t>
  </si>
  <si>
    <t xml:space="preserve">COMISIÓN_030-TM</t>
  </si>
  <si>
    <t xml:space="preserve">Garcia Gabriela Paola</t>
  </si>
  <si>
    <t xml:space="preserve">AULA GU-107</t>
  </si>
  <si>
    <t xml:space="preserve">Scaravaglione Enzo Leonardo Jesús</t>
  </si>
  <si>
    <t xml:space="preserve">Micheloud Gabriel David Agustín</t>
  </si>
  <si>
    <t xml:space="preserve">COMISIÓN_031-TM</t>
  </si>
  <si>
    <t xml:space="preserve">AULA GU-108</t>
  </si>
  <si>
    <t xml:space="preserve">Fatecha Micaela Giselle</t>
  </si>
  <si>
    <t xml:space="preserve">COMISIÓN_032-TM</t>
  </si>
  <si>
    <t xml:space="preserve">Aguirre Selene Abigail</t>
  </si>
  <si>
    <t xml:space="preserve">AULA GU-109</t>
  </si>
  <si>
    <t xml:space="preserve">Vera Karen Rocio</t>
  </si>
  <si>
    <t xml:space="preserve">Edgardo Gastón Cabaña</t>
  </si>
  <si>
    <t xml:space="preserve">COMISIÓN_037-TM</t>
  </si>
  <si>
    <t xml:space="preserve">Pereyra Antonella</t>
  </si>
  <si>
    <t xml:space="preserve">Vargas Silvia Raquel</t>
  </si>
  <si>
    <t xml:space="preserve">Aquila Florencia</t>
  </si>
  <si>
    <t xml:space="preserve">Viernes</t>
  </si>
  <si>
    <t xml:space="preserve">COMISIÓN_038-TM</t>
  </si>
  <si>
    <t xml:space="preserve">Bianchi Pablo</t>
  </si>
  <si>
    <t xml:space="preserve">Ojeda Julian</t>
  </si>
  <si>
    <t xml:space="preserve">COMISIÓN_039-TM</t>
  </si>
  <si>
    <t xml:space="preserve">COMISIÓN_040-TM</t>
  </si>
  <si>
    <t xml:space="preserve">COMISIÓN_041-TM</t>
  </si>
  <si>
    <t xml:space="preserve">González Agustina Sol</t>
  </si>
  <si>
    <t xml:space="preserve">Caffera Delfina</t>
  </si>
  <si>
    <t xml:space="preserve">COMISIÓN_042-TM</t>
  </si>
  <si>
    <t xml:space="preserve">COMISIÓN_043-TM</t>
  </si>
  <si>
    <t xml:space="preserve">Martinez Foresi Maria Laura</t>
  </si>
  <si>
    <t xml:space="preserve">COMISIÓN_044-TM</t>
  </si>
  <si>
    <t xml:space="preserve">Salatino Karen</t>
  </si>
  <si>
    <t xml:space="preserve">Barrionuevo Anabel</t>
  </si>
  <si>
    <t xml:space="preserve">COMISIÓN_045-TM</t>
  </si>
  <si>
    <t xml:space="preserve">COMISIÓN_046-TM</t>
  </si>
  <si>
    <t xml:space="preserve">COMISIÓN_047-TM</t>
  </si>
  <si>
    <t xml:space="preserve">Barrionuevo María Victoria</t>
  </si>
  <si>
    <t xml:space="preserve">COMISIÓN_048-TM</t>
  </si>
  <si>
    <t xml:space="preserve">Medina Maria Soledad</t>
  </si>
  <si>
    <t xml:space="preserve">COMISIÓN_049-TM</t>
  </si>
  <si>
    <t xml:space="preserve">Herrera Aylén</t>
  </si>
  <si>
    <t xml:space="preserve">COMISIÓN_050-TM</t>
  </si>
  <si>
    <t xml:space="preserve">Bassignani Sebastian</t>
  </si>
  <si>
    <t xml:space="preserve">Falco Camila</t>
  </si>
  <si>
    <t xml:space="preserve">COMISIÓN_051-TM</t>
  </si>
  <si>
    <t xml:space="preserve">COMISIÓN_052-TM</t>
  </si>
  <si>
    <t xml:space="preserve">AULA JS-116-</t>
  </si>
  <si>
    <t xml:space="preserve">COMISIÓN_053-TM</t>
  </si>
  <si>
    <t xml:space="preserve">-</t>
  </si>
  <si>
    <t xml:space="preserve">COMISIÓN_054-TM</t>
  </si>
  <si>
    <t xml:space="preserve">Salietti Brenda Elizabeth</t>
  </si>
  <si>
    <t xml:space="preserve">COMISIÓN_055-TM</t>
  </si>
  <si>
    <t xml:space="preserve">Cohen Laura Mariel</t>
  </si>
  <si>
    <t xml:space="preserve">Guerrero Betina Lucia</t>
  </si>
  <si>
    <t xml:space="preserve">COMISIÓN_056-TM</t>
  </si>
  <si>
    <t xml:space="preserve">COMISIÓN_057-TM</t>
  </si>
  <si>
    <t xml:space="preserve">Grah Ludmila</t>
  </si>
  <si>
    <t xml:space="preserve">Herrera Cielo Elisa</t>
  </si>
  <si>
    <t xml:space="preserve">COMISIÓN_058-TM</t>
  </si>
  <si>
    <t xml:space="preserve">Martinez Emmanuel David</t>
  </si>
  <si>
    <t xml:space="preserve">COMISIÓN_059-TM</t>
  </si>
  <si>
    <t xml:space="preserve">Ricciardi, Juan Jesús</t>
  </si>
  <si>
    <t xml:space="preserve">COMISIÓN_060-TM</t>
  </si>
  <si>
    <t xml:space="preserve">COMISIÓN_061-TM</t>
  </si>
  <si>
    <t xml:space="preserve">Franco Nahuel Prado</t>
  </si>
  <si>
    <t xml:space="preserve">COMISIÓN_062-TM</t>
  </si>
  <si>
    <t xml:space="preserve">Ferreyra Nahuel Osvaldo</t>
  </si>
  <si>
    <t xml:space="preserve">COMISIÓN_063-TM</t>
  </si>
  <si>
    <t xml:space="preserve">Ortiz Macarena</t>
  </si>
  <si>
    <t xml:space="preserve">Oliveto Silvia</t>
  </si>
  <si>
    <t xml:space="preserve">COMISIÓN_064-TM</t>
  </si>
  <si>
    <t xml:space="preserve">COMISIÓN_065-TM</t>
  </si>
  <si>
    <t xml:space="preserve">Franco Nahuel Prado (ok martes)</t>
  </si>
  <si>
    <t xml:space="preserve">AULA JS-009-</t>
  </si>
  <si>
    <t xml:space="preserve">COMISIÓN_066-TM</t>
  </si>
  <si>
    <t xml:space="preserve">AULA TA-209</t>
  </si>
  <si>
    <t xml:space="preserve">Cruz Yamila</t>
  </si>
  <si>
    <t xml:space="preserve">COMISIÓN_067-TM</t>
  </si>
  <si>
    <t xml:space="preserve">Díaz Malén Celeste</t>
  </si>
  <si>
    <t xml:space="preserve">AULA GU-008</t>
  </si>
  <si>
    <t xml:space="preserve">Franco Nahuel Prado (ok jueves)</t>
  </si>
  <si>
    <t xml:space="preserve">COMISIÓN_068-TM</t>
  </si>
  <si>
    <t xml:space="preserve">(TPM) Nieves Julieta</t>
  </si>
  <si>
    <t xml:space="preserve">COMISIÓN_069-TM</t>
  </si>
  <si>
    <t xml:space="preserve">Moyano Gilda Daniela</t>
  </si>
  <si>
    <t xml:space="preserve">AULA GU-110</t>
  </si>
  <si>
    <t xml:space="preserve">COMISIÓN_070-TM</t>
  </si>
  <si>
    <t xml:space="preserve">Camila Pauselli</t>
  </si>
  <si>
    <t xml:space="preserve">AULA GU-010</t>
  </si>
  <si>
    <t xml:space="preserve">COMISIÓN_078-TT</t>
  </si>
  <si>
    <t xml:space="preserve">Morales Ariel Darío</t>
  </si>
  <si>
    <t xml:space="preserve">Lanfranco Betsabé</t>
  </si>
  <si>
    <t xml:space="preserve">Bonell Erica Vanina</t>
  </si>
  <si>
    <t xml:space="preserve">COMISIÓN_079-TT</t>
  </si>
  <si>
    <t xml:space="preserve">Nieves Julieta</t>
  </si>
  <si>
    <t xml:space="preserve">(TLE) Aquila Florencia</t>
  </si>
  <si>
    <t xml:space="preserve">COMISIÓN_080-TT</t>
  </si>
  <si>
    <t xml:space="preserve">Furlani Jimena Fernanda</t>
  </si>
  <si>
    <t xml:space="preserve">(TVU) Leanes Sofía</t>
  </si>
  <si>
    <t xml:space="preserve">COMISIÓN_081-TT</t>
  </si>
  <si>
    <t xml:space="preserve">Olea Gomez Octavio Nahuel</t>
  </si>
  <si>
    <t xml:space="preserve">COMISIÓN_082-TT</t>
  </si>
  <si>
    <t xml:space="preserve">COMISIÓN_083-TT</t>
  </si>
  <si>
    <t xml:space="preserve">Fernández Ailín Estefania</t>
  </si>
  <si>
    <t xml:space="preserve">COMISIÓN_084-TT</t>
  </si>
  <si>
    <t xml:space="preserve">Bonifacino Nahuel Nicolas</t>
  </si>
  <si>
    <t xml:space="preserve">COMISIÓN_085-TT</t>
  </si>
  <si>
    <t xml:space="preserve">Borda Damian</t>
  </si>
  <si>
    <t xml:space="preserve">COMISIÓN_086-TT</t>
  </si>
  <si>
    <t xml:space="preserve">Tamara Ayelen Ruiz Diaz</t>
  </si>
  <si>
    <t xml:space="preserve">COMISIÓN_087-TT</t>
  </si>
  <si>
    <t xml:space="preserve">Aranda Johanna Melisa</t>
  </si>
  <si>
    <t xml:space="preserve">COMISIÓN_088-TT</t>
  </si>
  <si>
    <t xml:space="preserve">Almuna Carina Andrea</t>
  </si>
  <si>
    <t xml:space="preserve">COMISIÓN_089-TT</t>
  </si>
  <si>
    <t xml:space="preserve">Gómez Nora Noemí</t>
  </si>
  <si>
    <t xml:space="preserve">COMISIÓN_090-TT</t>
  </si>
  <si>
    <t xml:space="preserve">Niccolini, Juan Pablo</t>
  </si>
  <si>
    <t xml:space="preserve">COMISIÓN_091-TT</t>
  </si>
  <si>
    <t xml:space="preserve">) Cannone Lorena Andrea</t>
  </si>
  <si>
    <t xml:space="preserve">Cerezo Leticia</t>
  </si>
  <si>
    <t xml:space="preserve">COMISIÓN_092-TT</t>
  </si>
  <si>
    <t xml:space="preserve">(Darizcuren Pace Bárbara</t>
  </si>
  <si>
    <t xml:space="preserve">COMISIÓN_093-TT</t>
  </si>
  <si>
    <t xml:space="preserve">(TPM) Fernández Aldana lihuen</t>
  </si>
  <si>
    <t xml:space="preserve">Poggi Emilia Ramírez</t>
  </si>
  <si>
    <t xml:space="preserve">COMISIÓN_094-TT</t>
  </si>
  <si>
    <t xml:space="preserve">COMISIÓN_095-TT</t>
  </si>
  <si>
    <t xml:space="preserve">Fraga Andrea Veronica</t>
  </si>
  <si>
    <t xml:space="preserve">Ortiz Facundo Nahuel</t>
  </si>
  <si>
    <t xml:space="preserve">Gianni Victor Adrian</t>
  </si>
  <si>
    <t xml:space="preserve">COMISIÓN_096-TT</t>
  </si>
  <si>
    <t xml:space="preserve">Borgnino Rodolfo Cesar</t>
  </si>
  <si>
    <t xml:space="preserve">COMISIÓN_097-TT</t>
  </si>
  <si>
    <t xml:space="preserve">COMISIÓN_098-TT</t>
  </si>
  <si>
    <t xml:space="preserve">(TVU) Leguizamon Pablo</t>
  </si>
  <si>
    <t xml:space="preserve">Soto Teresa de Jesús</t>
  </si>
  <si>
    <t xml:space="preserve">COMISIÓN_099-TT</t>
  </si>
  <si>
    <t xml:space="preserve">COMISIÓN_100-TT</t>
  </si>
  <si>
    <t xml:space="preserve">COMISIÓN_101-TT</t>
  </si>
  <si>
    <t xml:space="preserve">Guzmán Leiva Pamela Beatriz</t>
  </si>
  <si>
    <t xml:space="preserve">COMISIÓN_102-TT</t>
  </si>
  <si>
    <t xml:space="preserve">COMISIÓN_103-TT</t>
  </si>
  <si>
    <t xml:space="preserve">COMISIÓN_104-TT</t>
  </si>
  <si>
    <t xml:space="preserve">Gimenez Heit Cecilia</t>
  </si>
  <si>
    <t xml:space="preserve">Darizcuren Pace Bárbara</t>
  </si>
  <si>
    <t xml:space="preserve">COMISIÓN_105-TT</t>
  </si>
  <si>
    <t xml:space="preserve">Livolsi María Belén</t>
  </si>
  <si>
    <t xml:space="preserve">COMISIÓN_106-TT</t>
  </si>
  <si>
    <t xml:space="preserve">Sandrini Carolina</t>
  </si>
  <si>
    <t xml:space="preserve">Vicino Bruno</t>
  </si>
  <si>
    <t xml:space="preserve">COMISIÓN_107-TT</t>
  </si>
  <si>
    <t xml:space="preserve">Bekerman Natalia Soledad</t>
  </si>
  <si>
    <t xml:space="preserve">Zabalo Ailen Anahí</t>
  </si>
  <si>
    <t xml:space="preserve">Cuba Cintia Analía</t>
  </si>
  <si>
    <t xml:space="preserve">COMISIÓN_108-TT</t>
  </si>
  <si>
    <t xml:space="preserve">Scattolin Bruno Emiliano</t>
  </si>
  <si>
    <t xml:space="preserve">Villalva Claudia Adriana</t>
  </si>
  <si>
    <t xml:space="preserve">COMISIÓN_109-TN</t>
  </si>
  <si>
    <t xml:space="preserve">Molinari Sabrina Fabiana</t>
  </si>
  <si>
    <t xml:space="preserve">Chamorro Carina</t>
  </si>
  <si>
    <t xml:space="preserve">Alvarez Karen Milagros</t>
  </si>
  <si>
    <t xml:space="preserve">COMISIÓN_110-TN</t>
  </si>
  <si>
    <t xml:space="preserve">Fernández Aldana lihuen</t>
  </si>
  <si>
    <t xml:space="preserve">COMISIÓN_111-TN</t>
  </si>
  <si>
    <t xml:space="preserve">Rivas Marisol</t>
  </si>
  <si>
    <t xml:space="preserve">COMISIÓN_112-TN</t>
  </si>
  <si>
    <t xml:space="preserve">Ponce Rosana</t>
  </si>
  <si>
    <t xml:space="preserve">COMISIÓN_113-TN</t>
  </si>
  <si>
    <t xml:space="preserve">Piaggio Antonella</t>
  </si>
  <si>
    <t xml:space="preserve">COMISIÓN_114-TN</t>
  </si>
  <si>
    <t xml:space="preserve">López Nora María</t>
  </si>
  <si>
    <t xml:space="preserve">Barrientos Eliana Belen</t>
  </si>
  <si>
    <t xml:space="preserve">COMISIÓN_115-TN</t>
  </si>
  <si>
    <t xml:space="preserve">Wolf Patricia Soledad</t>
  </si>
  <si>
    <t xml:space="preserve">COMISIÓN_116-TN</t>
  </si>
  <si>
    <t xml:space="preserve">COMISIÓN_117-TN</t>
  </si>
  <si>
    <t xml:space="preserve">COMISIÓN_118-TN</t>
  </si>
  <si>
    <t xml:space="preserve">Sosa Xoana Fabiola</t>
  </si>
  <si>
    <t xml:space="preserve">COMISIÓN_119-TN</t>
  </si>
  <si>
    <t xml:space="preserve">COMISIÓN_120-TN</t>
  </si>
  <si>
    <t xml:space="preserve">Arossa Natalia Soledad</t>
  </si>
  <si>
    <t xml:space="preserve">COMISIÓN_121-TN</t>
  </si>
  <si>
    <t xml:space="preserve">Martinez Nancy</t>
  </si>
  <si>
    <t xml:space="preserve">(falta)</t>
  </si>
  <si>
    <t xml:space="preserve">COMISIÓN_122-TN</t>
  </si>
  <si>
    <t xml:space="preserve">COMISIÓN_123-TN</t>
  </si>
  <si>
    <t xml:space="preserve">Cuellar Argote, Elizabeth Cynthia</t>
  </si>
  <si>
    <t xml:space="preserve">Ferreira Mauro Javier</t>
  </si>
  <si>
    <t xml:space="preserve">COMISIÓN_124-TN</t>
  </si>
  <si>
    <t xml:space="preserve">COMISIÓN_125-TN</t>
  </si>
  <si>
    <t xml:space="preserve">Demattei Ariadna</t>
  </si>
  <si>
    <t xml:space="preserve">Frugoni Sebastian</t>
  </si>
  <si>
    <t xml:space="preserve">COMISIÓN_126-TN</t>
  </si>
  <si>
    <t xml:space="preserve">Michelena Aylén Eliana</t>
  </si>
  <si>
    <t xml:space="preserve">COMISIÓN_127-TN</t>
  </si>
  <si>
    <t xml:space="preserve">COMISIÓN_128-TN</t>
  </si>
  <si>
    <t xml:space="preserve">COMISIÓN_129-TN</t>
  </si>
  <si>
    <t xml:space="preserve">COMISIÓN_130-TN</t>
  </si>
  <si>
    <t xml:space="preserve">Legrini Celeste Belen</t>
  </si>
  <si>
    <t xml:space="preserve">Perlotti Antonella</t>
  </si>
  <si>
    <t xml:space="preserve">COMISIÓN_131-TN</t>
  </si>
  <si>
    <t xml:space="preserve">COMISIÓN_132-TN</t>
  </si>
  <si>
    <t xml:space="preserve">COMISIÓN_133-TN</t>
  </si>
  <si>
    <t xml:space="preserve">Itce Sonia</t>
  </si>
  <si>
    <t xml:space="preserve">COMISIÓN_134-TN</t>
  </si>
  <si>
    <t xml:space="preserve">Bertinat Sofia</t>
  </si>
  <si>
    <t xml:space="preserve">COMISIÓN_135-TN</t>
  </si>
  <si>
    <t xml:space="preserve">Blanco Debora</t>
  </si>
  <si>
    <t xml:space="preserve">COMISIÓN_136-TN</t>
  </si>
  <si>
    <t xml:space="preserve">andrini Carolina</t>
  </si>
  <si>
    <t xml:space="preserve">COMISIÓN_137-TN</t>
  </si>
  <si>
    <t xml:space="preserve">COMISIÓN_138-TN</t>
  </si>
  <si>
    <t xml:space="preserve">costa Morreale, Florencia Victoria</t>
  </si>
  <si>
    <t xml:space="preserve">COMISIÓN_139-TN</t>
  </si>
  <si>
    <t xml:space="preserve">COMISIÓN_140-TN</t>
  </si>
  <si>
    <t xml:space="preserve">Peikert Maria Celeste</t>
  </si>
  <si>
    <t xml:space="preserve">COMISIÓN_141-TN</t>
  </si>
  <si>
    <t xml:space="preserve">Guzmán Valeria Fernanda</t>
  </si>
  <si>
    <t xml:space="preserve">COMISIÓN_142-TN</t>
  </si>
  <si>
    <t xml:space="preserve">COMISIÓN_143-TN</t>
  </si>
  <si>
    <t xml:space="preserve">COMISIÓN_144-TN</t>
  </si>
  <si>
    <t xml:space="preserve">COMISIÓN_145-TN</t>
  </si>
  <si>
    <t xml:space="preserve">Ludwin Noelia Magalí</t>
  </si>
  <si>
    <t xml:space="preserve">COMISIÓN_146-TN</t>
  </si>
  <si>
    <t xml:space="preserve">COMISIÓN_147-TN</t>
  </si>
  <si>
    <t xml:space="preserve">COMISIÓN_TVU 1-TM</t>
  </si>
  <si>
    <t xml:space="preserve">De Montes Ornella</t>
  </si>
  <si>
    <t xml:space="preserve">Taller de Vida Universitaria (terciarios)</t>
  </si>
  <si>
    <t xml:space="preserve">COMISIÓN_TVU 11-TN</t>
  </si>
  <si>
    <t xml:space="preserve">Samir Ernesto Camilo</t>
  </si>
  <si>
    <t xml:space="preserve">COMISIÓN_TVU 12-TN</t>
  </si>
  <si>
    <t xml:space="preserve">COMISIÓN_TVU 2-TM</t>
  </si>
  <si>
    <t xml:space="preserve">COMISIÓN_TVU 3-TM</t>
  </si>
  <si>
    <t xml:space="preserve">COMISIÓN_TVU 5-TT</t>
  </si>
  <si>
    <t xml:space="preserve">COMISIÓN_TVU 6-TT</t>
  </si>
  <si>
    <t xml:space="preserve">Morales Damian</t>
  </si>
  <si>
    <t xml:space="preserve">COMISIÓN_TVU 7-TT</t>
  </si>
  <si>
    <t xml:space="preserve">COMISIÓN_TVU 9-TN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</si>
</sst>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\:mm"/>
    <numFmt numFmtId="166" formatCode="General"/>
    <numFmt numFmtId="167" formatCode="hh:mm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2"/>
      <color rgb="FF000000"/>
      <name val="Calibri"/>
      <family val="2"/>
      <charset val="1"/>
    </font>
    <font>
      <sz val="12"/>
      <color rgb="FF000000"/>
      <name val="Calibri"/>
      <family val="0"/>
      <charset val="1"/>
    </font>
    <font>
      <sz val="12"/>
      <color rgb="FF0B263B"/>
      <name val="Calibri"/>
      <family val="0"/>
      <charset val="1"/>
    </font>
    <font>
      <sz val="10"/>
      <color rgb="FF0B263B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sz val="10"/>
      <color rgb="FF0B263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FFFFFF"/>
        <bgColor rgb="FFFFFFCC"/>
      </patternFill>
    </fill>
    <fill>
      <patternFill patternType="solid">
        <fgColor rgb="FFB6D7A8"/>
        <bgColor rgb="FFC3CCD3"/>
      </patternFill>
    </fill>
    <fill>
      <patternFill patternType="solid">
        <fgColor rgb="FF1976D2"/>
        <bgColor rgb="FF3366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C3CCD3"/>
      </right>
      <top/>
      <bottom/>
      <diagonal/>
    </border>
    <border diagonalUp="false" diagonalDown="false">
      <left/>
      <right style="thin">
        <color rgb="FFC3CCD3"/>
      </right>
      <top style="thin">
        <color rgb="FFC3CCD3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CD3"/>
      <rgbColor rgb="FF808080"/>
      <rgbColor rgb="FF9999FF"/>
      <rgbColor rgb="FF993366"/>
      <rgbColor rgb="FFFFFFCC"/>
      <rgbColor rgb="FFCCFFFF"/>
      <rgbColor rgb="FF660066"/>
      <rgbColor rgb="FFFF8080"/>
      <rgbColor rgb="FF1976D2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B263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P15" activeCellId="0" sqref="P15"/>
    </sheetView>
  </sheetViews>
  <sheetFormatPr defaultColWidth="12.5703125" defaultRowHeight="15" zeroHeight="false" outlineLevelRow="0" outlineLevelCol="0"/>
  <cols>
    <col collapsed="false" customWidth="true" hidden="false" outlineLevel="0" max="1" min="1" style="0" width="47.29"/>
    <col collapsed="false" customWidth="true" hidden="false" outlineLevel="0" max="2" min="2" style="0" width="11.29"/>
    <col collapsed="false" customWidth="true" hidden="false" outlineLevel="0" max="4" min="3" style="0" width="27.29"/>
    <col collapsed="false" customWidth="true" hidden="false" outlineLevel="0" max="5" min="5" style="0" width="21.85"/>
    <col collapsed="false" customWidth="true" hidden="false" outlineLevel="0" max="6" min="6" style="0" width="13.15"/>
    <col collapsed="false" customWidth="true" hidden="false" outlineLevel="0" max="7" min="7" style="0" width="11.14"/>
    <col collapsed="false" customWidth="true" hidden="false" outlineLevel="0" max="8" min="8" style="0" width="13.42"/>
    <col collapsed="false" customWidth="true" hidden="false" outlineLevel="0" max="9" min="9" style="0" width="20"/>
    <col collapsed="false" customWidth="true" hidden="false" outlineLevel="0" max="10" min="10" style="0" width="19.42"/>
    <col collapsed="false" customWidth="true" hidden="true" outlineLevel="0" max="12" min="11" style="0" width="14.42"/>
    <col collapsed="false" customWidth="true" hidden="false" outlineLevel="0" max="30" min="13" style="0" width="14.42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customFormat="false" ht="15.75" hidden="false" customHeight="true" outlineLevel="0" collapsed="false">
      <c r="A2" s="5" t="s">
        <v>12</v>
      </c>
      <c r="B2" s="6" t="n">
        <v>25657470</v>
      </c>
      <c r="C2" s="7" t="s">
        <v>13</v>
      </c>
      <c r="D2" s="8" t="s">
        <v>14</v>
      </c>
      <c r="E2" s="9" t="str">
        <f aca="false">IFERROR(__xludf.dummyfunction("MAP(D2:D24436, C2:C24436, LAMBDA(Actividad, Comision, 
  IF(Actividad="""", """", 
    IFERROR(FILTER(comisiones!B:B, comisiones!A:A = Actividad, comisiones!G:G = Comision), ""No encontrado"")
  )
))"),"Mejuto Ivana")</f>
        <v>Mejuto Ivana</v>
      </c>
      <c r="F2" s="10" t="str">
        <f aca="false">IFERROR(__xludf.dummyfunction("MAP(D2:D24436, C2:C24436, LAMBDA(Actividad, Comision, 
  IF(Actividad="""", """", 
    IFERROR(FILTER(comisiones!H:H, comisiones!A:A = Actividad, comisiones!G:G = Comision), ""No encontrado"")
  )
))"),"Martes")</f>
        <v>Martes</v>
      </c>
      <c r="G2" s="11" t="n">
        <f aca="false">IFERROR(__xludf.dummyfunction("MAP(D2:D24436, C2:C24436, LAMBDA(Actividad, Comision, 
  IF(Actividad="""", """", 
    IFERROR(FILTER(comisiones!C:C, comisiones!A:A = Actividad, comisiones!G:G = Comision), ""No encontrado"")
  )
))"),0.333333333333333)</f>
        <v>0.333333333333333</v>
      </c>
      <c r="H2" s="11" t="n">
        <f aca="false">IFERROR(__xludf.dummyfunction("MAP(D2:D24436, C2:C24436, LAMBDA(Actividad, Comision, 
  IF(Actividad="""", """", 
    IFERROR(FILTER(comisiones!D:D, comisiones!A:A = Actividad, comisiones!G:G = Comision), ""No encontrado"")
  )
))"),0.5)</f>
        <v>0.5</v>
      </c>
      <c r="I2" s="12" t="str">
        <f aca="false">IFERROR(__xludf.dummyfunction("MAP(D2:D24436, C2:C24436, LAMBDA(Actividad, Comision, 
  IF(Actividad="""", """", 
    IFERROR(FILTER(comisiones!E:E, comisiones!A:A = Actividad, comisiones!G:G = Comision), ""No encontrado"")
  )
))"),"AULA JS-004-")</f>
        <v>AULA JS-004-</v>
      </c>
      <c r="J2" s="12" t="str">
        <f aca="false">IFERROR(__xludf.dummyfunction("MAP(D2:D24436, C2:C24436, LAMBDA(Actividad, Comision, 
  IF(Actividad="""", """", 
    IFERROR(FILTER(comisiones!F:F, comisiones!A:A = Actividad, comisiones!G:G = Comision), ""No encontrado"")
  )
))"),"JUSTICIA SOCIAL")</f>
        <v>JUSTICIA SOCIAL</v>
      </c>
      <c r="K2" s="13" t="s">
        <v>15</v>
      </c>
      <c r="L2" s="14" t="n">
        <v>1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customFormat="false" ht="15.75" hidden="false" customHeight="true" outlineLevel="0" collapsed="false">
      <c r="A3" s="5" t="s">
        <v>12</v>
      </c>
      <c r="B3" s="6" t="n">
        <v>25657470</v>
      </c>
      <c r="C3" s="7" t="s">
        <v>16</v>
      </c>
      <c r="D3" s="8" t="s">
        <v>14</v>
      </c>
      <c r="E3" s="9" t="str">
        <f aca="false">IFERROR(__xludf.dummyfunction("""COMPUTED_VALUE"""),"Ibañez Adela")</f>
        <v>Ibañez Adela</v>
      </c>
      <c r="F3" s="10" t="str">
        <f aca="false">IFERROR(__xludf.dummyfunction("""COMPUTED_VALUE"""),"Sábado")</f>
        <v>Sábado</v>
      </c>
      <c r="G3" s="11" t="n">
        <f aca="false">IFERROR(__xludf.dummyfunction("""COMPUTED_VALUE"""),0.375)</f>
        <v>0.375</v>
      </c>
      <c r="H3" s="11" t="n">
        <f aca="false">IFERROR(__xludf.dummyfunction("""COMPUTED_VALUE"""),0.541666666666666)</f>
        <v>0.541666666666666</v>
      </c>
      <c r="I3" s="12" t="str">
        <f aca="false">IFERROR(__xludf.dummyfunction("""COMPUTED_VALUE"""),"AULA JS-004-")</f>
        <v>AULA JS-004-</v>
      </c>
      <c r="J3" s="12" t="str">
        <f aca="false">IFERROR(__xludf.dummyfunction("""COMPUTED_VALUE"""),"JUSTICIA SOCIAL")</f>
        <v>JUSTICIA SOCIAL</v>
      </c>
      <c r="K3" s="13" t="s">
        <v>15</v>
      </c>
      <c r="L3" s="14" t="n">
        <v>1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customFormat="false" ht="15.75" hidden="false" customHeight="true" outlineLevel="0" collapsed="false">
      <c r="A4" s="5" t="s">
        <v>12</v>
      </c>
      <c r="B4" s="6" t="n">
        <v>25657470</v>
      </c>
      <c r="C4" s="7" t="s">
        <v>17</v>
      </c>
      <c r="D4" s="8" t="s">
        <v>14</v>
      </c>
      <c r="E4" s="15" t="str">
        <f aca="false">IFERROR(__xludf.dummyfunction("""COMPUTED_VALUE"""),"Mannocchi Valentina")</f>
        <v>Mannocchi Valentina</v>
      </c>
      <c r="F4" s="10" t="str">
        <f aca="false">IFERROR(__xludf.dummyfunction("""COMPUTED_VALUE"""),"Jueves")</f>
        <v>Jueves</v>
      </c>
      <c r="G4" s="11" t="n">
        <f aca="false">IFERROR(__xludf.dummyfunction("""COMPUTED_VALUE"""),0.333333333333333)</f>
        <v>0.333333333333333</v>
      </c>
      <c r="H4" s="11" t="n">
        <f aca="false">IFERROR(__xludf.dummyfunction("""COMPUTED_VALUE"""),0.5)</f>
        <v>0.5</v>
      </c>
      <c r="I4" s="12" t="str">
        <f aca="false">IFERROR(__xludf.dummyfunction("""COMPUTED_VALUE"""),"AULA JS-004-")</f>
        <v>AULA JS-004-</v>
      </c>
      <c r="J4" s="12" t="str">
        <f aca="false">IFERROR(__xludf.dummyfunction("""COMPUTED_VALUE"""),"JUSTICIA SOCIAL")</f>
        <v>JUSTICIA SOCIAL</v>
      </c>
      <c r="K4" s="13" t="s">
        <v>15</v>
      </c>
      <c r="L4" s="14" t="n">
        <v>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customFormat="false" ht="15.75" hidden="false" customHeight="true" outlineLevel="0" collapsed="false">
      <c r="A5" s="5" t="s">
        <v>18</v>
      </c>
      <c r="B5" s="6" t="n">
        <v>38870541</v>
      </c>
      <c r="C5" s="7" t="s">
        <v>16</v>
      </c>
      <c r="D5" s="16" t="s">
        <v>14</v>
      </c>
      <c r="E5" s="15" t="str">
        <f aca="false">IFERROR(__xludf.dummyfunction("""COMPUTED_VALUE"""),"Ibañez Adela")</f>
        <v>Ibañez Adela</v>
      </c>
      <c r="F5" s="10" t="str">
        <f aca="false">IFERROR(__xludf.dummyfunction("""COMPUTED_VALUE"""),"Sábado")</f>
        <v>Sábado</v>
      </c>
      <c r="G5" s="11" t="n">
        <f aca="false">IFERROR(__xludf.dummyfunction("""COMPUTED_VALUE"""),0.375)</f>
        <v>0.375</v>
      </c>
      <c r="H5" s="11" t="n">
        <f aca="false">IFERROR(__xludf.dummyfunction("""COMPUTED_VALUE"""),0.541666666666666)</f>
        <v>0.541666666666666</v>
      </c>
      <c r="I5" s="12" t="str">
        <f aca="false">IFERROR(__xludf.dummyfunction("""COMPUTED_VALUE"""),"AULA JS-004-")</f>
        <v>AULA JS-004-</v>
      </c>
      <c r="J5" s="12" t="str">
        <f aca="false">IFERROR(__xludf.dummyfunction("""COMPUTED_VALUE"""),"JUSTICIA SOCIAL")</f>
        <v>JUSTICIA SOCIAL</v>
      </c>
      <c r="K5" s="13" t="s">
        <v>15</v>
      </c>
      <c r="L5" s="14" t="n">
        <v>4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customFormat="false" ht="15.75" hidden="false" customHeight="true" outlineLevel="0" collapsed="false">
      <c r="A6" s="5" t="s">
        <v>18</v>
      </c>
      <c r="B6" s="6" t="n">
        <v>38870541</v>
      </c>
      <c r="C6" s="17" t="s">
        <v>17</v>
      </c>
      <c r="D6" s="16" t="s">
        <v>14</v>
      </c>
      <c r="E6" s="15" t="str">
        <f aca="false">IFERROR(__xludf.dummyfunction("""COMPUTED_VALUE"""),"Mannocchi Valentina")</f>
        <v>Mannocchi Valentina</v>
      </c>
      <c r="F6" s="10" t="str">
        <f aca="false">IFERROR(__xludf.dummyfunction("""COMPUTED_VALUE"""),"Jueves")</f>
        <v>Jueves</v>
      </c>
      <c r="G6" s="11" t="n">
        <f aca="false">IFERROR(__xludf.dummyfunction("""COMPUTED_VALUE"""),0.333333333333333)</f>
        <v>0.333333333333333</v>
      </c>
      <c r="H6" s="11" t="n">
        <f aca="false">IFERROR(__xludf.dummyfunction("""COMPUTED_VALUE"""),0.5)</f>
        <v>0.5</v>
      </c>
      <c r="I6" s="12" t="str">
        <f aca="false">IFERROR(__xludf.dummyfunction("""COMPUTED_VALUE"""),"AULA JS-004-")</f>
        <v>AULA JS-004-</v>
      </c>
      <c r="J6" s="12" t="str">
        <f aca="false">IFERROR(__xludf.dummyfunction("""COMPUTED_VALUE"""),"JUSTICIA SOCIAL")</f>
        <v>JUSTICIA SOCIAL</v>
      </c>
      <c r="K6" s="13" t="s">
        <v>15</v>
      </c>
      <c r="L6" s="14" t="n">
        <v>4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customFormat="false" ht="15.75" hidden="false" customHeight="true" outlineLevel="0" collapsed="false">
      <c r="A7" s="5" t="s">
        <v>18</v>
      </c>
      <c r="B7" s="6" t="n">
        <v>38870541</v>
      </c>
      <c r="C7" s="7" t="s">
        <v>13</v>
      </c>
      <c r="D7" s="16" t="s">
        <v>14</v>
      </c>
      <c r="E7" s="15" t="str">
        <f aca="false">IFERROR(__xludf.dummyfunction("""COMPUTED_VALUE"""),"Mejuto Ivana")</f>
        <v>Mejuto Ivana</v>
      </c>
      <c r="F7" s="10" t="str">
        <f aca="false">IFERROR(__xludf.dummyfunction("""COMPUTED_VALUE"""),"Martes")</f>
        <v>Martes</v>
      </c>
      <c r="G7" s="11" t="n">
        <f aca="false">IFERROR(__xludf.dummyfunction("""COMPUTED_VALUE"""),0.333333333333333)</f>
        <v>0.333333333333333</v>
      </c>
      <c r="H7" s="11" t="n">
        <f aca="false">IFERROR(__xludf.dummyfunction("""COMPUTED_VALUE"""),0.5)</f>
        <v>0.5</v>
      </c>
      <c r="I7" s="12" t="str">
        <f aca="false">IFERROR(__xludf.dummyfunction("""COMPUTED_VALUE"""),"AULA JS-004-")</f>
        <v>AULA JS-004-</v>
      </c>
      <c r="J7" s="12" t="str">
        <f aca="false">IFERROR(__xludf.dummyfunction("""COMPUTED_VALUE"""),"JUSTICIA SOCIAL")</f>
        <v>JUSTICIA SOCIAL</v>
      </c>
      <c r="K7" s="13" t="s">
        <v>15</v>
      </c>
      <c r="L7" s="14" t="n">
        <v>4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customFormat="false" ht="15.75" hidden="false" customHeight="true" outlineLevel="0" collapsed="false">
      <c r="A8" s="5" t="s">
        <v>19</v>
      </c>
      <c r="B8" s="6" t="n">
        <v>45204013</v>
      </c>
      <c r="C8" s="7" t="s">
        <v>16</v>
      </c>
      <c r="D8" s="16" t="s">
        <v>14</v>
      </c>
      <c r="E8" s="9" t="str">
        <f aca="false">IFERROR(__xludf.dummyfunction("""COMPUTED_VALUE"""),"Ibañez Adela")</f>
        <v>Ibañez Adela</v>
      </c>
      <c r="F8" s="10" t="str">
        <f aca="false">IFERROR(__xludf.dummyfunction("""COMPUTED_VALUE"""),"Sábado")</f>
        <v>Sábado</v>
      </c>
      <c r="G8" s="11" t="n">
        <f aca="false">IFERROR(__xludf.dummyfunction("""COMPUTED_VALUE"""),0.375)</f>
        <v>0.375</v>
      </c>
      <c r="H8" s="11" t="n">
        <f aca="false">IFERROR(__xludf.dummyfunction("""COMPUTED_VALUE"""),0.541666666666666)</f>
        <v>0.541666666666666</v>
      </c>
      <c r="I8" s="12" t="str">
        <f aca="false">IFERROR(__xludf.dummyfunction("""COMPUTED_VALUE"""),"AULA JS-004-")</f>
        <v>AULA JS-004-</v>
      </c>
      <c r="J8" s="12" t="str">
        <f aca="false">IFERROR(__xludf.dummyfunction("""COMPUTED_VALUE"""),"JUSTICIA SOCIAL")</f>
        <v>JUSTICIA SOCIAL</v>
      </c>
      <c r="K8" s="13" t="s">
        <v>15</v>
      </c>
      <c r="L8" s="14" t="n">
        <v>4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customFormat="false" ht="15.75" hidden="false" customHeight="true" outlineLevel="0" collapsed="false">
      <c r="A9" s="5" t="s">
        <v>19</v>
      </c>
      <c r="B9" s="6" t="n">
        <v>45204013</v>
      </c>
      <c r="C9" s="17" t="s">
        <v>17</v>
      </c>
      <c r="D9" s="16" t="s">
        <v>14</v>
      </c>
      <c r="E9" s="12" t="str">
        <f aca="false">IFERROR(__xludf.dummyfunction("""COMPUTED_VALUE"""),"Mannocchi Valentina")</f>
        <v>Mannocchi Valentina</v>
      </c>
      <c r="F9" s="10" t="str">
        <f aca="false">IFERROR(__xludf.dummyfunction("""COMPUTED_VALUE"""),"Jueves")</f>
        <v>Jueves</v>
      </c>
      <c r="G9" s="11" t="n">
        <f aca="false">IFERROR(__xludf.dummyfunction("""COMPUTED_VALUE"""),0.333333333333333)</f>
        <v>0.333333333333333</v>
      </c>
      <c r="H9" s="11" t="n">
        <f aca="false">IFERROR(__xludf.dummyfunction("""COMPUTED_VALUE"""),0.5)</f>
        <v>0.5</v>
      </c>
      <c r="I9" s="12" t="str">
        <f aca="false">IFERROR(__xludf.dummyfunction("""COMPUTED_VALUE"""),"AULA JS-004-")</f>
        <v>AULA JS-004-</v>
      </c>
      <c r="J9" s="12" t="str">
        <f aca="false">IFERROR(__xludf.dummyfunction("""COMPUTED_VALUE"""),"JUSTICIA SOCIAL")</f>
        <v>JUSTICIA SOCIAL</v>
      </c>
      <c r="K9" s="13" t="s">
        <v>15</v>
      </c>
      <c r="L9" s="14" t="n">
        <v>4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customFormat="false" ht="15.75" hidden="false" customHeight="true" outlineLevel="0" collapsed="false">
      <c r="A10" s="5" t="s">
        <v>19</v>
      </c>
      <c r="B10" s="6" t="n">
        <v>45204013</v>
      </c>
      <c r="C10" s="7" t="s">
        <v>13</v>
      </c>
      <c r="D10" s="16" t="s">
        <v>14</v>
      </c>
      <c r="E10" s="12" t="str">
        <f aca="false">IFERROR(__xludf.dummyfunction("""COMPUTED_VALUE"""),"Mejuto Ivana")</f>
        <v>Mejuto Ivana</v>
      </c>
      <c r="F10" s="10" t="str">
        <f aca="false">IFERROR(__xludf.dummyfunction("""COMPUTED_VALUE"""),"Martes")</f>
        <v>Martes</v>
      </c>
      <c r="G10" s="11" t="n">
        <f aca="false">IFERROR(__xludf.dummyfunction("""COMPUTED_VALUE"""),0.333333333333333)</f>
        <v>0.333333333333333</v>
      </c>
      <c r="H10" s="11" t="n">
        <f aca="false">IFERROR(__xludf.dummyfunction("""COMPUTED_VALUE"""),0.5)</f>
        <v>0.5</v>
      </c>
      <c r="I10" s="12" t="str">
        <f aca="false">IFERROR(__xludf.dummyfunction("""COMPUTED_VALUE"""),"AULA JS-004-")</f>
        <v>AULA JS-004-</v>
      </c>
      <c r="J10" s="12" t="str">
        <f aca="false">IFERROR(__xludf.dummyfunction("""COMPUTED_VALUE"""),"JUSTICIA SOCIAL")</f>
        <v>JUSTICIA SOCIAL</v>
      </c>
      <c r="K10" s="13" t="s">
        <v>15</v>
      </c>
      <c r="L10" s="14" t="n">
        <v>4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customFormat="false" ht="15.75" hidden="false" customHeight="true" outlineLevel="0" collapsed="false">
      <c r="A11" s="5" t="s">
        <v>20</v>
      </c>
      <c r="B11" s="6" t="n">
        <v>47517641</v>
      </c>
      <c r="C11" s="7" t="s">
        <v>16</v>
      </c>
      <c r="D11" s="16" t="s">
        <v>14</v>
      </c>
      <c r="E11" s="12" t="str">
        <f aca="false">IFERROR(__xludf.dummyfunction("""COMPUTED_VALUE"""),"Ibañez Adela")</f>
        <v>Ibañez Adela</v>
      </c>
      <c r="F11" s="10" t="str">
        <f aca="false">IFERROR(__xludf.dummyfunction("""COMPUTED_VALUE"""),"Sábado")</f>
        <v>Sábado</v>
      </c>
      <c r="G11" s="11" t="n">
        <f aca="false">IFERROR(__xludf.dummyfunction("""COMPUTED_VALUE"""),0.375)</f>
        <v>0.375</v>
      </c>
      <c r="H11" s="11" t="n">
        <f aca="false">IFERROR(__xludf.dummyfunction("""COMPUTED_VALUE"""),0.541666666666666)</f>
        <v>0.541666666666666</v>
      </c>
      <c r="I11" s="12" t="str">
        <f aca="false">IFERROR(__xludf.dummyfunction("""COMPUTED_VALUE"""),"AULA JS-004-")</f>
        <v>AULA JS-004-</v>
      </c>
      <c r="J11" s="12" t="str">
        <f aca="false">IFERROR(__xludf.dummyfunction("""COMPUTED_VALUE"""),"JUSTICIA SOCIAL")</f>
        <v>JUSTICIA SOCIAL</v>
      </c>
      <c r="K11" s="13" t="s">
        <v>15</v>
      </c>
      <c r="L11" s="14" t="n">
        <v>6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customFormat="false" ht="15.75" hidden="false" customHeight="true" outlineLevel="0" collapsed="false">
      <c r="A12" s="5" t="s">
        <v>20</v>
      </c>
      <c r="B12" s="6" t="n">
        <v>47517641</v>
      </c>
      <c r="C12" s="17" t="s">
        <v>17</v>
      </c>
      <c r="D12" s="16" t="s">
        <v>14</v>
      </c>
      <c r="E12" s="12" t="str">
        <f aca="false">IFERROR(__xludf.dummyfunction("""COMPUTED_VALUE"""),"Mannocchi Valentina")</f>
        <v>Mannocchi Valentina</v>
      </c>
      <c r="F12" s="10" t="str">
        <f aca="false">IFERROR(__xludf.dummyfunction("""COMPUTED_VALUE"""),"Jueves")</f>
        <v>Jueves</v>
      </c>
      <c r="G12" s="11" t="n">
        <f aca="false">IFERROR(__xludf.dummyfunction("""COMPUTED_VALUE"""),0.333333333333333)</f>
        <v>0.333333333333333</v>
      </c>
      <c r="H12" s="11" t="n">
        <f aca="false">IFERROR(__xludf.dummyfunction("""COMPUTED_VALUE"""),0.5)</f>
        <v>0.5</v>
      </c>
      <c r="I12" s="12" t="str">
        <f aca="false">IFERROR(__xludf.dummyfunction("""COMPUTED_VALUE"""),"AULA JS-004-")</f>
        <v>AULA JS-004-</v>
      </c>
      <c r="J12" s="12" t="str">
        <f aca="false">IFERROR(__xludf.dummyfunction("""COMPUTED_VALUE"""),"JUSTICIA SOCIAL")</f>
        <v>JUSTICIA SOCIAL</v>
      </c>
      <c r="K12" s="13" t="s">
        <v>15</v>
      </c>
      <c r="L12" s="14" t="n">
        <v>6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customFormat="false" ht="15.75" hidden="false" customHeight="true" outlineLevel="0" collapsed="false">
      <c r="A13" s="5" t="s">
        <v>20</v>
      </c>
      <c r="B13" s="6" t="n">
        <v>47517641</v>
      </c>
      <c r="C13" s="7" t="s">
        <v>13</v>
      </c>
      <c r="D13" s="16" t="s">
        <v>14</v>
      </c>
      <c r="E13" s="12" t="str">
        <f aca="false">IFERROR(__xludf.dummyfunction("""COMPUTED_VALUE"""),"Mejuto Ivana")</f>
        <v>Mejuto Ivana</v>
      </c>
      <c r="F13" s="10" t="str">
        <f aca="false">IFERROR(__xludf.dummyfunction("""COMPUTED_VALUE"""),"Martes")</f>
        <v>Martes</v>
      </c>
      <c r="G13" s="11" t="n">
        <f aca="false">IFERROR(__xludf.dummyfunction("""COMPUTED_VALUE"""),0.333333333333333)</f>
        <v>0.333333333333333</v>
      </c>
      <c r="H13" s="11" t="n">
        <f aca="false">IFERROR(__xludf.dummyfunction("""COMPUTED_VALUE"""),0.5)</f>
        <v>0.5</v>
      </c>
      <c r="I13" s="12" t="str">
        <f aca="false">IFERROR(__xludf.dummyfunction("""COMPUTED_VALUE"""),"AULA JS-004-")</f>
        <v>AULA JS-004-</v>
      </c>
      <c r="J13" s="12" t="str">
        <f aca="false">IFERROR(__xludf.dummyfunction("""COMPUTED_VALUE"""),"JUSTICIA SOCIAL")</f>
        <v>JUSTICIA SOCIAL</v>
      </c>
      <c r="K13" s="13" t="s">
        <v>15</v>
      </c>
      <c r="L13" s="14" t="n">
        <v>6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customFormat="false" ht="15.75" hidden="false" customHeight="true" outlineLevel="0" collapsed="false">
      <c r="A14" s="5" t="s">
        <v>21</v>
      </c>
      <c r="B14" s="6" t="n">
        <v>35890072</v>
      </c>
      <c r="C14" s="7" t="s">
        <v>16</v>
      </c>
      <c r="D14" s="16" t="s">
        <v>14</v>
      </c>
      <c r="E14" s="12" t="str">
        <f aca="false">IFERROR(__xludf.dummyfunction("""COMPUTED_VALUE"""),"Ibañez Adela")</f>
        <v>Ibañez Adela</v>
      </c>
      <c r="F14" s="10" t="str">
        <f aca="false">IFERROR(__xludf.dummyfunction("""COMPUTED_VALUE"""),"Sábado")</f>
        <v>Sábado</v>
      </c>
      <c r="G14" s="11" t="n">
        <f aca="false">IFERROR(__xludf.dummyfunction("""COMPUTED_VALUE"""),0.375)</f>
        <v>0.375</v>
      </c>
      <c r="H14" s="11" t="n">
        <f aca="false">IFERROR(__xludf.dummyfunction("""COMPUTED_VALUE"""),0.541666666666666)</f>
        <v>0.541666666666666</v>
      </c>
      <c r="I14" s="12" t="str">
        <f aca="false">IFERROR(__xludf.dummyfunction("""COMPUTED_VALUE"""),"AULA JS-004-")</f>
        <v>AULA JS-004-</v>
      </c>
      <c r="J14" s="12" t="str">
        <f aca="false">IFERROR(__xludf.dummyfunction("""COMPUTED_VALUE"""),"JUSTICIA SOCIAL")</f>
        <v>JUSTICIA SOCIAL</v>
      </c>
      <c r="K14" s="13" t="s">
        <v>15</v>
      </c>
      <c r="L14" s="14" t="n">
        <v>3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customFormat="false" ht="15.75" hidden="false" customHeight="true" outlineLevel="0" collapsed="false">
      <c r="A15" s="5" t="s">
        <v>21</v>
      </c>
      <c r="B15" s="6" t="n">
        <v>35890072</v>
      </c>
      <c r="C15" s="17" t="s">
        <v>17</v>
      </c>
      <c r="D15" s="16" t="s">
        <v>14</v>
      </c>
      <c r="E15" s="12" t="str">
        <f aca="false">IFERROR(__xludf.dummyfunction("""COMPUTED_VALUE"""),"Mannocchi Valentina")</f>
        <v>Mannocchi Valentina</v>
      </c>
      <c r="F15" s="10" t="str">
        <f aca="false">IFERROR(__xludf.dummyfunction("""COMPUTED_VALUE"""),"Jueves")</f>
        <v>Jueves</v>
      </c>
      <c r="G15" s="11" t="n">
        <f aca="false">IFERROR(__xludf.dummyfunction("""COMPUTED_VALUE"""),0.333333333333333)</f>
        <v>0.333333333333333</v>
      </c>
      <c r="H15" s="11" t="n">
        <f aca="false">IFERROR(__xludf.dummyfunction("""COMPUTED_VALUE"""),0.5)</f>
        <v>0.5</v>
      </c>
      <c r="I15" s="12" t="str">
        <f aca="false">IFERROR(__xludf.dummyfunction("""COMPUTED_VALUE"""),"AULA JS-004-")</f>
        <v>AULA JS-004-</v>
      </c>
      <c r="J15" s="12" t="str">
        <f aca="false">IFERROR(__xludf.dummyfunction("""COMPUTED_VALUE"""),"JUSTICIA SOCIAL")</f>
        <v>JUSTICIA SOCIAL</v>
      </c>
      <c r="K15" s="13" t="s">
        <v>15</v>
      </c>
      <c r="L15" s="14" t="n">
        <v>3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customFormat="false" ht="15.75" hidden="false" customHeight="true" outlineLevel="0" collapsed="false">
      <c r="A16" s="5" t="s">
        <v>21</v>
      </c>
      <c r="B16" s="6" t="n">
        <v>35890072</v>
      </c>
      <c r="C16" s="7" t="s">
        <v>13</v>
      </c>
      <c r="D16" s="16" t="s">
        <v>14</v>
      </c>
      <c r="E16" s="12" t="str">
        <f aca="false">IFERROR(__xludf.dummyfunction("""COMPUTED_VALUE"""),"Mejuto Ivana")</f>
        <v>Mejuto Ivana</v>
      </c>
      <c r="F16" s="10" t="str">
        <f aca="false">IFERROR(__xludf.dummyfunction("""COMPUTED_VALUE"""),"Martes")</f>
        <v>Martes</v>
      </c>
      <c r="G16" s="11" t="n">
        <f aca="false">IFERROR(__xludf.dummyfunction("""COMPUTED_VALUE"""),0.333333333333333)</f>
        <v>0.333333333333333</v>
      </c>
      <c r="H16" s="11" t="n">
        <f aca="false">IFERROR(__xludf.dummyfunction("""COMPUTED_VALUE"""),0.5)</f>
        <v>0.5</v>
      </c>
      <c r="I16" s="12" t="str">
        <f aca="false">IFERROR(__xludf.dummyfunction("""COMPUTED_VALUE"""),"AULA JS-004-")</f>
        <v>AULA JS-004-</v>
      </c>
      <c r="J16" s="12" t="str">
        <f aca="false">IFERROR(__xludf.dummyfunction("""COMPUTED_VALUE"""),"JUSTICIA SOCIAL")</f>
        <v>JUSTICIA SOCIAL</v>
      </c>
      <c r="K16" s="13" t="s">
        <v>15</v>
      </c>
      <c r="L16" s="14" t="n">
        <v>3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customFormat="false" ht="15.75" hidden="false" customHeight="true" outlineLevel="0" collapsed="false">
      <c r="A17" s="5" t="s">
        <v>22</v>
      </c>
      <c r="B17" s="6" t="n">
        <v>34779680</v>
      </c>
      <c r="C17" s="7" t="s">
        <v>16</v>
      </c>
      <c r="D17" s="16" t="s">
        <v>14</v>
      </c>
      <c r="E17" s="12" t="str">
        <f aca="false">IFERROR(__xludf.dummyfunction("""COMPUTED_VALUE"""),"Ibañez Adela")</f>
        <v>Ibañez Adela</v>
      </c>
      <c r="F17" s="10" t="str">
        <f aca="false">IFERROR(__xludf.dummyfunction("""COMPUTED_VALUE"""),"Sábado")</f>
        <v>Sábado</v>
      </c>
      <c r="G17" s="11" t="n">
        <f aca="false">IFERROR(__xludf.dummyfunction("""COMPUTED_VALUE"""),0.375)</f>
        <v>0.375</v>
      </c>
      <c r="H17" s="11" t="n">
        <f aca="false">IFERROR(__xludf.dummyfunction("""COMPUTED_VALUE"""),0.541666666666666)</f>
        <v>0.541666666666666</v>
      </c>
      <c r="I17" s="12" t="str">
        <f aca="false">IFERROR(__xludf.dummyfunction("""COMPUTED_VALUE"""),"AULA JS-004-")</f>
        <v>AULA JS-004-</v>
      </c>
      <c r="J17" s="12" t="str">
        <f aca="false">IFERROR(__xludf.dummyfunction("""COMPUTED_VALUE"""),"JUSTICIA SOCIAL")</f>
        <v>JUSTICIA SOCIAL</v>
      </c>
      <c r="K17" s="13" t="s">
        <v>15</v>
      </c>
      <c r="L17" s="14" t="n">
        <v>3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customFormat="false" ht="15.75" hidden="false" customHeight="true" outlineLevel="0" collapsed="false">
      <c r="A18" s="5" t="s">
        <v>22</v>
      </c>
      <c r="B18" s="6" t="n">
        <v>34779680</v>
      </c>
      <c r="C18" s="17" t="s">
        <v>17</v>
      </c>
      <c r="D18" s="16" t="s">
        <v>14</v>
      </c>
      <c r="E18" s="12" t="str">
        <f aca="false">IFERROR(__xludf.dummyfunction("""COMPUTED_VALUE"""),"Mannocchi Valentina")</f>
        <v>Mannocchi Valentina</v>
      </c>
      <c r="F18" s="10" t="str">
        <f aca="false">IFERROR(__xludf.dummyfunction("""COMPUTED_VALUE"""),"Jueves")</f>
        <v>Jueves</v>
      </c>
      <c r="G18" s="11" t="n">
        <f aca="false">IFERROR(__xludf.dummyfunction("""COMPUTED_VALUE"""),0.333333333333333)</f>
        <v>0.333333333333333</v>
      </c>
      <c r="H18" s="11" t="n">
        <f aca="false">IFERROR(__xludf.dummyfunction("""COMPUTED_VALUE"""),0.5)</f>
        <v>0.5</v>
      </c>
      <c r="I18" s="12" t="str">
        <f aca="false">IFERROR(__xludf.dummyfunction("""COMPUTED_VALUE"""),"AULA JS-004-")</f>
        <v>AULA JS-004-</v>
      </c>
      <c r="J18" s="12" t="str">
        <f aca="false">IFERROR(__xludf.dummyfunction("""COMPUTED_VALUE"""),"JUSTICIA SOCIAL")</f>
        <v>JUSTICIA SOCIAL</v>
      </c>
      <c r="K18" s="13" t="s">
        <v>15</v>
      </c>
      <c r="L18" s="14" t="n">
        <v>3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customFormat="false" ht="15.75" hidden="false" customHeight="true" outlineLevel="0" collapsed="false">
      <c r="A19" s="5" t="s">
        <v>22</v>
      </c>
      <c r="B19" s="6" t="n">
        <v>34779680</v>
      </c>
      <c r="C19" s="7" t="s">
        <v>13</v>
      </c>
      <c r="D19" s="16" t="s">
        <v>14</v>
      </c>
      <c r="E19" s="12" t="str">
        <f aca="false">IFERROR(__xludf.dummyfunction("""COMPUTED_VALUE"""),"Mejuto Ivana")</f>
        <v>Mejuto Ivana</v>
      </c>
      <c r="F19" s="10" t="str">
        <f aca="false">IFERROR(__xludf.dummyfunction("""COMPUTED_VALUE"""),"Martes")</f>
        <v>Martes</v>
      </c>
      <c r="G19" s="11" t="n">
        <f aca="false">IFERROR(__xludf.dummyfunction("""COMPUTED_VALUE"""),0.333333333333333)</f>
        <v>0.333333333333333</v>
      </c>
      <c r="H19" s="11" t="n">
        <f aca="false">IFERROR(__xludf.dummyfunction("""COMPUTED_VALUE"""),0.5)</f>
        <v>0.5</v>
      </c>
      <c r="I19" s="12" t="str">
        <f aca="false">IFERROR(__xludf.dummyfunction("""COMPUTED_VALUE"""),"AULA JS-004-")</f>
        <v>AULA JS-004-</v>
      </c>
      <c r="J19" s="12" t="str">
        <f aca="false">IFERROR(__xludf.dummyfunction("""COMPUTED_VALUE"""),"JUSTICIA SOCIAL")</f>
        <v>JUSTICIA SOCIAL</v>
      </c>
      <c r="K19" s="13" t="s">
        <v>15</v>
      </c>
      <c r="L19" s="14" t="n">
        <v>3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customFormat="false" ht="15.75" hidden="false" customHeight="true" outlineLevel="0" collapsed="false">
      <c r="A20" s="5" t="s">
        <v>23</v>
      </c>
      <c r="B20" s="6" t="n">
        <v>28205785</v>
      </c>
      <c r="C20" s="7" t="s">
        <v>16</v>
      </c>
      <c r="D20" s="16" t="s">
        <v>14</v>
      </c>
      <c r="E20" s="12" t="str">
        <f aca="false">IFERROR(__xludf.dummyfunction("""COMPUTED_VALUE"""),"Ibañez Adela")</f>
        <v>Ibañez Adela</v>
      </c>
      <c r="F20" s="10" t="str">
        <f aca="false">IFERROR(__xludf.dummyfunction("""COMPUTED_VALUE"""),"Sábado")</f>
        <v>Sábado</v>
      </c>
      <c r="G20" s="11" t="n">
        <f aca="false">IFERROR(__xludf.dummyfunction("""COMPUTED_VALUE"""),0.375)</f>
        <v>0.375</v>
      </c>
      <c r="H20" s="11" t="n">
        <f aca="false">IFERROR(__xludf.dummyfunction("""COMPUTED_VALUE"""),0.541666666666666)</f>
        <v>0.541666666666666</v>
      </c>
      <c r="I20" s="12" t="str">
        <f aca="false">IFERROR(__xludf.dummyfunction("""COMPUTED_VALUE"""),"AULA JS-004-")</f>
        <v>AULA JS-004-</v>
      </c>
      <c r="J20" s="12" t="str">
        <f aca="false">IFERROR(__xludf.dummyfunction("""COMPUTED_VALUE"""),"JUSTICIA SOCIAL")</f>
        <v>JUSTICIA SOCIAL</v>
      </c>
      <c r="K20" s="13" t="s">
        <v>15</v>
      </c>
      <c r="L20" s="14" t="n">
        <v>3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customFormat="false" ht="15.75" hidden="false" customHeight="true" outlineLevel="0" collapsed="false">
      <c r="A21" s="5" t="s">
        <v>23</v>
      </c>
      <c r="B21" s="6" t="n">
        <v>28205785</v>
      </c>
      <c r="C21" s="17" t="s">
        <v>17</v>
      </c>
      <c r="D21" s="16" t="s">
        <v>14</v>
      </c>
      <c r="E21" s="12" t="str">
        <f aca="false">IFERROR(__xludf.dummyfunction("""COMPUTED_VALUE"""),"Mannocchi Valentina")</f>
        <v>Mannocchi Valentina</v>
      </c>
      <c r="F21" s="10" t="str">
        <f aca="false">IFERROR(__xludf.dummyfunction("""COMPUTED_VALUE"""),"Jueves")</f>
        <v>Jueves</v>
      </c>
      <c r="G21" s="11" t="n">
        <f aca="false">IFERROR(__xludf.dummyfunction("""COMPUTED_VALUE"""),0.333333333333333)</f>
        <v>0.333333333333333</v>
      </c>
      <c r="H21" s="11" t="n">
        <f aca="false">IFERROR(__xludf.dummyfunction("""COMPUTED_VALUE"""),0.5)</f>
        <v>0.5</v>
      </c>
      <c r="I21" s="12" t="str">
        <f aca="false">IFERROR(__xludf.dummyfunction("""COMPUTED_VALUE"""),"AULA JS-004-")</f>
        <v>AULA JS-004-</v>
      </c>
      <c r="J21" s="12" t="str">
        <f aca="false">IFERROR(__xludf.dummyfunction("""COMPUTED_VALUE"""),"JUSTICIA SOCIAL")</f>
        <v>JUSTICIA SOCIAL</v>
      </c>
      <c r="K21" s="13" t="s">
        <v>15</v>
      </c>
      <c r="L21" s="14" t="n">
        <v>3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customFormat="false" ht="15.75" hidden="false" customHeight="true" outlineLevel="0" collapsed="false">
      <c r="A22" s="5" t="s">
        <v>23</v>
      </c>
      <c r="B22" s="6" t="n">
        <v>28205785</v>
      </c>
      <c r="C22" s="7" t="s">
        <v>13</v>
      </c>
      <c r="D22" s="16" t="s">
        <v>14</v>
      </c>
      <c r="E22" s="12" t="str">
        <f aca="false">IFERROR(__xludf.dummyfunction("""COMPUTED_VALUE"""),"Mejuto Ivana")</f>
        <v>Mejuto Ivana</v>
      </c>
      <c r="F22" s="10" t="str">
        <f aca="false">IFERROR(__xludf.dummyfunction("""COMPUTED_VALUE"""),"Martes")</f>
        <v>Martes</v>
      </c>
      <c r="G22" s="11" t="n">
        <f aca="false">IFERROR(__xludf.dummyfunction("""COMPUTED_VALUE"""),0.333333333333333)</f>
        <v>0.333333333333333</v>
      </c>
      <c r="H22" s="11" t="n">
        <f aca="false">IFERROR(__xludf.dummyfunction("""COMPUTED_VALUE"""),0.5)</f>
        <v>0.5</v>
      </c>
      <c r="I22" s="12" t="str">
        <f aca="false">IFERROR(__xludf.dummyfunction("""COMPUTED_VALUE"""),"AULA JS-004-")</f>
        <v>AULA JS-004-</v>
      </c>
      <c r="J22" s="12" t="str">
        <f aca="false">IFERROR(__xludf.dummyfunction("""COMPUTED_VALUE"""),"JUSTICIA SOCIAL")</f>
        <v>JUSTICIA SOCIAL</v>
      </c>
      <c r="K22" s="13" t="s">
        <v>15</v>
      </c>
      <c r="L22" s="14" t="n">
        <v>3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customFormat="false" ht="15.75" hidden="false" customHeight="true" outlineLevel="0" collapsed="false">
      <c r="A23" s="5" t="s">
        <v>24</v>
      </c>
      <c r="B23" s="6" t="n">
        <v>39404906</v>
      </c>
      <c r="C23" s="7" t="s">
        <v>16</v>
      </c>
      <c r="D23" s="16" t="s">
        <v>14</v>
      </c>
      <c r="E23" s="12" t="str">
        <f aca="false">IFERROR(__xludf.dummyfunction("""COMPUTED_VALUE"""),"Ibañez Adela")</f>
        <v>Ibañez Adela</v>
      </c>
      <c r="F23" s="10" t="str">
        <f aca="false">IFERROR(__xludf.dummyfunction("""COMPUTED_VALUE"""),"Sábado")</f>
        <v>Sábado</v>
      </c>
      <c r="G23" s="11" t="n">
        <f aca="false">IFERROR(__xludf.dummyfunction("""COMPUTED_VALUE"""),0.375)</f>
        <v>0.375</v>
      </c>
      <c r="H23" s="11" t="n">
        <f aca="false">IFERROR(__xludf.dummyfunction("""COMPUTED_VALUE"""),0.541666666666666)</f>
        <v>0.541666666666666</v>
      </c>
      <c r="I23" s="12" t="str">
        <f aca="false">IFERROR(__xludf.dummyfunction("""COMPUTED_VALUE"""),"AULA JS-004-")</f>
        <v>AULA JS-004-</v>
      </c>
      <c r="J23" s="12" t="str">
        <f aca="false">IFERROR(__xludf.dummyfunction("""COMPUTED_VALUE"""),"JUSTICIA SOCIAL")</f>
        <v>JUSTICIA SOCIAL</v>
      </c>
      <c r="K23" s="13" t="s">
        <v>15</v>
      </c>
      <c r="L23" s="14" t="n">
        <v>2</v>
      </c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customFormat="false" ht="15.75" hidden="false" customHeight="true" outlineLevel="0" collapsed="false">
      <c r="A24" s="5" t="s">
        <v>24</v>
      </c>
      <c r="B24" s="6" t="n">
        <v>39404906</v>
      </c>
      <c r="C24" s="17" t="s">
        <v>17</v>
      </c>
      <c r="D24" s="16" t="s">
        <v>14</v>
      </c>
      <c r="E24" s="12" t="str">
        <f aca="false">IFERROR(__xludf.dummyfunction("""COMPUTED_VALUE"""),"Mannocchi Valentina")</f>
        <v>Mannocchi Valentina</v>
      </c>
      <c r="F24" s="10" t="str">
        <f aca="false">IFERROR(__xludf.dummyfunction("""COMPUTED_VALUE"""),"Jueves")</f>
        <v>Jueves</v>
      </c>
      <c r="G24" s="11" t="n">
        <f aca="false">IFERROR(__xludf.dummyfunction("""COMPUTED_VALUE"""),0.333333333333333)</f>
        <v>0.333333333333333</v>
      </c>
      <c r="H24" s="11" t="n">
        <f aca="false">IFERROR(__xludf.dummyfunction("""COMPUTED_VALUE"""),0.5)</f>
        <v>0.5</v>
      </c>
      <c r="I24" s="12" t="str">
        <f aca="false">IFERROR(__xludf.dummyfunction("""COMPUTED_VALUE"""),"AULA JS-004-")</f>
        <v>AULA JS-004-</v>
      </c>
      <c r="J24" s="12" t="str">
        <f aca="false">IFERROR(__xludf.dummyfunction("""COMPUTED_VALUE"""),"JUSTICIA SOCIAL")</f>
        <v>JUSTICIA SOCIAL</v>
      </c>
      <c r="K24" s="13" t="s">
        <v>15</v>
      </c>
      <c r="L24" s="14" t="n">
        <v>2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customFormat="false" ht="15.75" hidden="false" customHeight="true" outlineLevel="0" collapsed="false">
      <c r="A25" s="5" t="s">
        <v>24</v>
      </c>
      <c r="B25" s="6" t="n">
        <v>39404906</v>
      </c>
      <c r="C25" s="7" t="s">
        <v>13</v>
      </c>
      <c r="D25" s="16" t="s">
        <v>14</v>
      </c>
      <c r="E25" s="12" t="str">
        <f aca="false">IFERROR(__xludf.dummyfunction("""COMPUTED_VALUE"""),"Mejuto Ivana")</f>
        <v>Mejuto Ivana</v>
      </c>
      <c r="F25" s="10" t="str">
        <f aca="false">IFERROR(__xludf.dummyfunction("""COMPUTED_VALUE"""),"Martes")</f>
        <v>Martes</v>
      </c>
      <c r="G25" s="11" t="n">
        <f aca="false">IFERROR(__xludf.dummyfunction("""COMPUTED_VALUE"""),0.333333333333333)</f>
        <v>0.333333333333333</v>
      </c>
      <c r="H25" s="11" t="n">
        <f aca="false">IFERROR(__xludf.dummyfunction("""COMPUTED_VALUE"""),0.5)</f>
        <v>0.5</v>
      </c>
      <c r="I25" s="12" t="str">
        <f aca="false">IFERROR(__xludf.dummyfunction("""COMPUTED_VALUE"""),"AULA JS-004-")</f>
        <v>AULA JS-004-</v>
      </c>
      <c r="J25" s="12" t="str">
        <f aca="false">IFERROR(__xludf.dummyfunction("""COMPUTED_VALUE"""),"JUSTICIA SOCIAL")</f>
        <v>JUSTICIA SOCIAL</v>
      </c>
      <c r="K25" s="13" t="s">
        <v>15</v>
      </c>
      <c r="L25" s="14" t="n">
        <v>2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customFormat="false" ht="15.75" hidden="false" customHeight="true" outlineLevel="0" collapsed="false">
      <c r="A26" s="5" t="s">
        <v>25</v>
      </c>
      <c r="B26" s="6" t="n">
        <v>29387724</v>
      </c>
      <c r="C26" s="7" t="s">
        <v>16</v>
      </c>
      <c r="D26" s="16" t="s">
        <v>14</v>
      </c>
      <c r="E26" s="12" t="str">
        <f aca="false">IFERROR(__xludf.dummyfunction("""COMPUTED_VALUE"""),"Ibañez Adela")</f>
        <v>Ibañez Adela</v>
      </c>
      <c r="F26" s="10" t="str">
        <f aca="false">IFERROR(__xludf.dummyfunction("""COMPUTED_VALUE"""),"Sábado")</f>
        <v>Sábado</v>
      </c>
      <c r="G26" s="11" t="n">
        <f aca="false">IFERROR(__xludf.dummyfunction("""COMPUTED_VALUE"""),0.375)</f>
        <v>0.375</v>
      </c>
      <c r="H26" s="11" t="n">
        <f aca="false">IFERROR(__xludf.dummyfunction("""COMPUTED_VALUE"""),0.541666666666666)</f>
        <v>0.541666666666666</v>
      </c>
      <c r="I26" s="12" t="str">
        <f aca="false">IFERROR(__xludf.dummyfunction("""COMPUTED_VALUE"""),"AULA JS-004-")</f>
        <v>AULA JS-004-</v>
      </c>
      <c r="J26" s="12" t="str">
        <f aca="false">IFERROR(__xludf.dummyfunction("""COMPUTED_VALUE"""),"JUSTICIA SOCIAL")</f>
        <v>JUSTICIA SOCIAL</v>
      </c>
      <c r="K26" s="13" t="s">
        <v>15</v>
      </c>
      <c r="L26" s="14" t="n">
        <v>4</v>
      </c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customFormat="false" ht="15.75" hidden="false" customHeight="true" outlineLevel="0" collapsed="false">
      <c r="A27" s="5" t="s">
        <v>25</v>
      </c>
      <c r="B27" s="6" t="n">
        <v>29387724</v>
      </c>
      <c r="C27" s="17" t="s">
        <v>17</v>
      </c>
      <c r="D27" s="16" t="s">
        <v>14</v>
      </c>
      <c r="E27" s="12" t="str">
        <f aca="false">IFERROR(__xludf.dummyfunction("""COMPUTED_VALUE"""),"Mannocchi Valentina")</f>
        <v>Mannocchi Valentina</v>
      </c>
      <c r="F27" s="10" t="str">
        <f aca="false">IFERROR(__xludf.dummyfunction("""COMPUTED_VALUE"""),"Jueves")</f>
        <v>Jueves</v>
      </c>
      <c r="G27" s="11" t="n">
        <f aca="false">IFERROR(__xludf.dummyfunction("""COMPUTED_VALUE"""),0.333333333333333)</f>
        <v>0.333333333333333</v>
      </c>
      <c r="H27" s="11" t="n">
        <f aca="false">IFERROR(__xludf.dummyfunction("""COMPUTED_VALUE"""),0.5)</f>
        <v>0.5</v>
      </c>
      <c r="I27" s="12" t="str">
        <f aca="false">IFERROR(__xludf.dummyfunction("""COMPUTED_VALUE"""),"AULA JS-004-")</f>
        <v>AULA JS-004-</v>
      </c>
      <c r="J27" s="12" t="str">
        <f aca="false">IFERROR(__xludf.dummyfunction("""COMPUTED_VALUE"""),"JUSTICIA SOCIAL")</f>
        <v>JUSTICIA SOCIAL</v>
      </c>
      <c r="K27" s="13" t="s">
        <v>15</v>
      </c>
      <c r="L27" s="14" t="n">
        <v>4</v>
      </c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customFormat="false" ht="15.75" hidden="false" customHeight="true" outlineLevel="0" collapsed="false">
      <c r="A28" s="5" t="s">
        <v>25</v>
      </c>
      <c r="B28" s="6" t="n">
        <v>29387724</v>
      </c>
      <c r="C28" s="7" t="s">
        <v>13</v>
      </c>
      <c r="D28" s="16" t="s">
        <v>14</v>
      </c>
      <c r="E28" s="12" t="str">
        <f aca="false">IFERROR(__xludf.dummyfunction("""COMPUTED_VALUE"""),"Mejuto Ivana")</f>
        <v>Mejuto Ivana</v>
      </c>
      <c r="F28" s="10" t="str">
        <f aca="false">IFERROR(__xludf.dummyfunction("""COMPUTED_VALUE"""),"Martes")</f>
        <v>Martes</v>
      </c>
      <c r="G28" s="11" t="n">
        <f aca="false">IFERROR(__xludf.dummyfunction("""COMPUTED_VALUE"""),0.333333333333333)</f>
        <v>0.333333333333333</v>
      </c>
      <c r="H28" s="11" t="n">
        <f aca="false">IFERROR(__xludf.dummyfunction("""COMPUTED_VALUE"""),0.5)</f>
        <v>0.5</v>
      </c>
      <c r="I28" s="12" t="str">
        <f aca="false">IFERROR(__xludf.dummyfunction("""COMPUTED_VALUE"""),"AULA JS-004-")</f>
        <v>AULA JS-004-</v>
      </c>
      <c r="J28" s="12" t="str">
        <f aca="false">IFERROR(__xludf.dummyfunction("""COMPUTED_VALUE"""),"JUSTICIA SOCIAL")</f>
        <v>JUSTICIA SOCIAL</v>
      </c>
      <c r="K28" s="13" t="s">
        <v>15</v>
      </c>
      <c r="L28" s="14" t="n">
        <v>4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customFormat="false" ht="15.75" hidden="false" customHeight="true" outlineLevel="0" collapsed="false">
      <c r="A29" s="5" t="s">
        <v>26</v>
      </c>
      <c r="B29" s="6" t="n">
        <v>48158083</v>
      </c>
      <c r="C29" s="7" t="s">
        <v>16</v>
      </c>
      <c r="D29" s="16" t="s">
        <v>14</v>
      </c>
      <c r="E29" s="12" t="str">
        <f aca="false">IFERROR(__xludf.dummyfunction("""COMPUTED_VALUE"""),"Ibañez Adela")</f>
        <v>Ibañez Adela</v>
      </c>
      <c r="F29" s="10" t="str">
        <f aca="false">IFERROR(__xludf.dummyfunction("""COMPUTED_VALUE"""),"Sábado")</f>
        <v>Sábado</v>
      </c>
      <c r="G29" s="11" t="n">
        <f aca="false">IFERROR(__xludf.dummyfunction("""COMPUTED_VALUE"""),0.375)</f>
        <v>0.375</v>
      </c>
      <c r="H29" s="11" t="n">
        <f aca="false">IFERROR(__xludf.dummyfunction("""COMPUTED_VALUE"""),0.541666666666666)</f>
        <v>0.541666666666666</v>
      </c>
      <c r="I29" s="12" t="str">
        <f aca="false">IFERROR(__xludf.dummyfunction("""COMPUTED_VALUE"""),"AULA JS-004-")</f>
        <v>AULA JS-004-</v>
      </c>
      <c r="J29" s="12" t="str">
        <f aca="false">IFERROR(__xludf.dummyfunction("""COMPUTED_VALUE"""),"JUSTICIA SOCIAL")</f>
        <v>JUSTICIA SOCIAL</v>
      </c>
      <c r="K29" s="13" t="s">
        <v>15</v>
      </c>
      <c r="L29" s="14" t="n">
        <v>2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customFormat="false" ht="15.75" hidden="false" customHeight="true" outlineLevel="0" collapsed="false">
      <c r="A30" s="5" t="s">
        <v>26</v>
      </c>
      <c r="B30" s="6" t="n">
        <v>48158083</v>
      </c>
      <c r="C30" s="17" t="s">
        <v>17</v>
      </c>
      <c r="D30" s="16" t="s">
        <v>14</v>
      </c>
      <c r="E30" s="12" t="str">
        <f aca="false">IFERROR(__xludf.dummyfunction("""COMPUTED_VALUE"""),"Mannocchi Valentina")</f>
        <v>Mannocchi Valentina</v>
      </c>
      <c r="F30" s="10" t="str">
        <f aca="false">IFERROR(__xludf.dummyfunction("""COMPUTED_VALUE"""),"Jueves")</f>
        <v>Jueves</v>
      </c>
      <c r="G30" s="11" t="n">
        <f aca="false">IFERROR(__xludf.dummyfunction("""COMPUTED_VALUE"""),0.333333333333333)</f>
        <v>0.333333333333333</v>
      </c>
      <c r="H30" s="11" t="n">
        <f aca="false">IFERROR(__xludf.dummyfunction("""COMPUTED_VALUE"""),0.5)</f>
        <v>0.5</v>
      </c>
      <c r="I30" s="12" t="str">
        <f aca="false">IFERROR(__xludf.dummyfunction("""COMPUTED_VALUE"""),"AULA JS-004-")</f>
        <v>AULA JS-004-</v>
      </c>
      <c r="J30" s="12" t="str">
        <f aca="false">IFERROR(__xludf.dummyfunction("""COMPUTED_VALUE"""),"JUSTICIA SOCIAL")</f>
        <v>JUSTICIA SOCIAL</v>
      </c>
      <c r="K30" s="13" t="s">
        <v>15</v>
      </c>
      <c r="L30" s="14" t="n">
        <v>2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customFormat="false" ht="15.75" hidden="false" customHeight="true" outlineLevel="0" collapsed="false">
      <c r="A31" s="5" t="s">
        <v>26</v>
      </c>
      <c r="B31" s="6" t="n">
        <v>48158083</v>
      </c>
      <c r="C31" s="7" t="s">
        <v>13</v>
      </c>
      <c r="D31" s="16" t="s">
        <v>14</v>
      </c>
      <c r="E31" s="12" t="str">
        <f aca="false">IFERROR(__xludf.dummyfunction("""COMPUTED_VALUE"""),"Mejuto Ivana")</f>
        <v>Mejuto Ivana</v>
      </c>
      <c r="F31" s="10" t="str">
        <f aca="false">IFERROR(__xludf.dummyfunction("""COMPUTED_VALUE"""),"Martes")</f>
        <v>Martes</v>
      </c>
      <c r="G31" s="11" t="n">
        <f aca="false">IFERROR(__xludf.dummyfunction("""COMPUTED_VALUE"""),0.333333333333333)</f>
        <v>0.333333333333333</v>
      </c>
      <c r="H31" s="11" t="n">
        <f aca="false">IFERROR(__xludf.dummyfunction("""COMPUTED_VALUE"""),0.5)</f>
        <v>0.5</v>
      </c>
      <c r="I31" s="12" t="str">
        <f aca="false">IFERROR(__xludf.dummyfunction("""COMPUTED_VALUE"""),"AULA JS-004-")</f>
        <v>AULA JS-004-</v>
      </c>
      <c r="J31" s="12" t="str">
        <f aca="false">IFERROR(__xludf.dummyfunction("""COMPUTED_VALUE"""),"JUSTICIA SOCIAL")</f>
        <v>JUSTICIA SOCIAL</v>
      </c>
      <c r="K31" s="13" t="s">
        <v>15</v>
      </c>
      <c r="L31" s="14" t="n">
        <v>2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customFormat="false" ht="15.75" hidden="false" customHeight="true" outlineLevel="0" collapsed="false">
      <c r="A32" s="5" t="s">
        <v>27</v>
      </c>
      <c r="B32" s="6" t="n">
        <v>24326199</v>
      </c>
      <c r="C32" s="7" t="s">
        <v>16</v>
      </c>
      <c r="D32" s="16" t="s">
        <v>14</v>
      </c>
      <c r="E32" s="12" t="str">
        <f aca="false">IFERROR(__xludf.dummyfunction("""COMPUTED_VALUE"""),"Ibañez Adela")</f>
        <v>Ibañez Adela</v>
      </c>
      <c r="F32" s="10" t="str">
        <f aca="false">IFERROR(__xludf.dummyfunction("""COMPUTED_VALUE"""),"Sábado")</f>
        <v>Sábado</v>
      </c>
      <c r="G32" s="11" t="n">
        <f aca="false">IFERROR(__xludf.dummyfunction("""COMPUTED_VALUE"""),0.375)</f>
        <v>0.375</v>
      </c>
      <c r="H32" s="11" t="n">
        <f aca="false">IFERROR(__xludf.dummyfunction("""COMPUTED_VALUE"""),0.541666666666666)</f>
        <v>0.541666666666666</v>
      </c>
      <c r="I32" s="12" t="str">
        <f aca="false">IFERROR(__xludf.dummyfunction("""COMPUTED_VALUE"""),"AULA JS-004-")</f>
        <v>AULA JS-004-</v>
      </c>
      <c r="J32" s="12" t="str">
        <f aca="false">IFERROR(__xludf.dummyfunction("""COMPUTED_VALUE"""),"JUSTICIA SOCIAL")</f>
        <v>JUSTICIA SOCIAL</v>
      </c>
      <c r="K32" s="13" t="s">
        <v>15</v>
      </c>
      <c r="L32" s="14" t="n">
        <v>2</v>
      </c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customFormat="false" ht="15.75" hidden="false" customHeight="true" outlineLevel="0" collapsed="false">
      <c r="A33" s="5" t="s">
        <v>27</v>
      </c>
      <c r="B33" s="6" t="n">
        <v>24326199</v>
      </c>
      <c r="C33" s="17" t="s">
        <v>17</v>
      </c>
      <c r="D33" s="16" t="s">
        <v>14</v>
      </c>
      <c r="E33" s="12" t="str">
        <f aca="false">IFERROR(__xludf.dummyfunction("""COMPUTED_VALUE"""),"Mannocchi Valentina")</f>
        <v>Mannocchi Valentina</v>
      </c>
      <c r="F33" s="10" t="str">
        <f aca="false">IFERROR(__xludf.dummyfunction("""COMPUTED_VALUE"""),"Jueves")</f>
        <v>Jueves</v>
      </c>
      <c r="G33" s="11" t="n">
        <f aca="false">IFERROR(__xludf.dummyfunction("""COMPUTED_VALUE"""),0.333333333333333)</f>
        <v>0.333333333333333</v>
      </c>
      <c r="H33" s="11" t="n">
        <f aca="false">IFERROR(__xludf.dummyfunction("""COMPUTED_VALUE"""),0.5)</f>
        <v>0.5</v>
      </c>
      <c r="I33" s="12" t="str">
        <f aca="false">IFERROR(__xludf.dummyfunction("""COMPUTED_VALUE"""),"AULA JS-004-")</f>
        <v>AULA JS-004-</v>
      </c>
      <c r="J33" s="12" t="str">
        <f aca="false">IFERROR(__xludf.dummyfunction("""COMPUTED_VALUE"""),"JUSTICIA SOCIAL")</f>
        <v>JUSTICIA SOCIAL</v>
      </c>
      <c r="K33" s="13" t="s">
        <v>15</v>
      </c>
      <c r="L33" s="14" t="n">
        <v>2</v>
      </c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customFormat="false" ht="15.75" hidden="false" customHeight="true" outlineLevel="0" collapsed="false">
      <c r="A34" s="5" t="s">
        <v>27</v>
      </c>
      <c r="B34" s="6" t="n">
        <v>24326199</v>
      </c>
      <c r="C34" s="7" t="s">
        <v>13</v>
      </c>
      <c r="D34" s="16" t="s">
        <v>14</v>
      </c>
      <c r="E34" s="12" t="str">
        <f aca="false">IFERROR(__xludf.dummyfunction("""COMPUTED_VALUE"""),"Mejuto Ivana")</f>
        <v>Mejuto Ivana</v>
      </c>
      <c r="F34" s="10" t="str">
        <f aca="false">IFERROR(__xludf.dummyfunction("""COMPUTED_VALUE"""),"Martes")</f>
        <v>Martes</v>
      </c>
      <c r="G34" s="11" t="n">
        <f aca="false">IFERROR(__xludf.dummyfunction("""COMPUTED_VALUE"""),0.333333333333333)</f>
        <v>0.333333333333333</v>
      </c>
      <c r="H34" s="11" t="n">
        <f aca="false">IFERROR(__xludf.dummyfunction("""COMPUTED_VALUE"""),0.5)</f>
        <v>0.5</v>
      </c>
      <c r="I34" s="12" t="str">
        <f aca="false">IFERROR(__xludf.dummyfunction("""COMPUTED_VALUE"""),"AULA JS-004-")</f>
        <v>AULA JS-004-</v>
      </c>
      <c r="J34" s="12" t="str">
        <f aca="false">IFERROR(__xludf.dummyfunction("""COMPUTED_VALUE"""),"JUSTICIA SOCIAL")</f>
        <v>JUSTICIA SOCIAL</v>
      </c>
      <c r="K34" s="13" t="s">
        <v>15</v>
      </c>
      <c r="L34" s="14" t="n">
        <v>2</v>
      </c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customFormat="false" ht="15.75" hidden="false" customHeight="true" outlineLevel="0" collapsed="false">
      <c r="A35" s="5" t="s">
        <v>28</v>
      </c>
      <c r="B35" s="6" t="n">
        <v>49026845</v>
      </c>
      <c r="C35" s="7" t="s">
        <v>16</v>
      </c>
      <c r="D35" s="16" t="s">
        <v>14</v>
      </c>
      <c r="E35" s="12" t="str">
        <f aca="false">IFERROR(__xludf.dummyfunction("""COMPUTED_VALUE"""),"Ibañez Adela")</f>
        <v>Ibañez Adela</v>
      </c>
      <c r="F35" s="10" t="str">
        <f aca="false">IFERROR(__xludf.dummyfunction("""COMPUTED_VALUE"""),"Sábado")</f>
        <v>Sábado</v>
      </c>
      <c r="G35" s="11" t="n">
        <f aca="false">IFERROR(__xludf.dummyfunction("""COMPUTED_VALUE"""),0.375)</f>
        <v>0.375</v>
      </c>
      <c r="H35" s="11" t="n">
        <f aca="false">IFERROR(__xludf.dummyfunction("""COMPUTED_VALUE"""),0.541666666666666)</f>
        <v>0.541666666666666</v>
      </c>
      <c r="I35" s="12" t="str">
        <f aca="false">IFERROR(__xludf.dummyfunction("""COMPUTED_VALUE"""),"AULA JS-004-")</f>
        <v>AULA JS-004-</v>
      </c>
      <c r="J35" s="12" t="str">
        <f aca="false">IFERROR(__xludf.dummyfunction("""COMPUTED_VALUE"""),"JUSTICIA SOCIAL")</f>
        <v>JUSTICIA SOCIAL</v>
      </c>
      <c r="K35" s="13" t="s">
        <v>15</v>
      </c>
      <c r="L35" s="14" t="n">
        <v>2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customFormat="false" ht="15.75" hidden="false" customHeight="true" outlineLevel="0" collapsed="false">
      <c r="A36" s="5" t="s">
        <v>28</v>
      </c>
      <c r="B36" s="6" t="n">
        <v>49026845</v>
      </c>
      <c r="C36" s="17" t="s">
        <v>17</v>
      </c>
      <c r="D36" s="16" t="s">
        <v>14</v>
      </c>
      <c r="E36" s="12" t="str">
        <f aca="false">IFERROR(__xludf.dummyfunction("""COMPUTED_VALUE"""),"Mannocchi Valentina")</f>
        <v>Mannocchi Valentina</v>
      </c>
      <c r="F36" s="10" t="str">
        <f aca="false">IFERROR(__xludf.dummyfunction("""COMPUTED_VALUE"""),"Jueves")</f>
        <v>Jueves</v>
      </c>
      <c r="G36" s="11" t="n">
        <f aca="false">IFERROR(__xludf.dummyfunction("""COMPUTED_VALUE"""),0.333333333333333)</f>
        <v>0.333333333333333</v>
      </c>
      <c r="H36" s="11" t="n">
        <f aca="false">IFERROR(__xludf.dummyfunction("""COMPUTED_VALUE"""),0.5)</f>
        <v>0.5</v>
      </c>
      <c r="I36" s="12" t="str">
        <f aca="false">IFERROR(__xludf.dummyfunction("""COMPUTED_VALUE"""),"AULA JS-004-")</f>
        <v>AULA JS-004-</v>
      </c>
      <c r="J36" s="12" t="str">
        <f aca="false">IFERROR(__xludf.dummyfunction("""COMPUTED_VALUE"""),"JUSTICIA SOCIAL")</f>
        <v>JUSTICIA SOCIAL</v>
      </c>
      <c r="K36" s="13" t="s">
        <v>15</v>
      </c>
      <c r="L36" s="14" t="n">
        <v>2</v>
      </c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customFormat="false" ht="15.75" hidden="false" customHeight="true" outlineLevel="0" collapsed="false">
      <c r="A37" s="5" t="s">
        <v>28</v>
      </c>
      <c r="B37" s="6" t="n">
        <v>49026845</v>
      </c>
      <c r="C37" s="7" t="s">
        <v>13</v>
      </c>
      <c r="D37" s="16" t="s">
        <v>14</v>
      </c>
      <c r="E37" s="12" t="str">
        <f aca="false">IFERROR(__xludf.dummyfunction("""COMPUTED_VALUE"""),"Mejuto Ivana")</f>
        <v>Mejuto Ivana</v>
      </c>
      <c r="F37" s="10" t="str">
        <f aca="false">IFERROR(__xludf.dummyfunction("""COMPUTED_VALUE"""),"Martes")</f>
        <v>Martes</v>
      </c>
      <c r="G37" s="11" t="n">
        <f aca="false">IFERROR(__xludf.dummyfunction("""COMPUTED_VALUE"""),0.333333333333333)</f>
        <v>0.333333333333333</v>
      </c>
      <c r="H37" s="11" t="n">
        <f aca="false">IFERROR(__xludf.dummyfunction("""COMPUTED_VALUE"""),0.5)</f>
        <v>0.5</v>
      </c>
      <c r="I37" s="12" t="str">
        <f aca="false">IFERROR(__xludf.dummyfunction("""COMPUTED_VALUE"""),"AULA JS-004-")</f>
        <v>AULA JS-004-</v>
      </c>
      <c r="J37" s="12" t="str">
        <f aca="false">IFERROR(__xludf.dummyfunction("""COMPUTED_VALUE"""),"JUSTICIA SOCIAL")</f>
        <v>JUSTICIA SOCIAL</v>
      </c>
      <c r="K37" s="13" t="s">
        <v>15</v>
      </c>
      <c r="L37" s="14" t="n">
        <v>2</v>
      </c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customFormat="false" ht="15.75" hidden="false" customHeight="true" outlineLevel="0" collapsed="false">
      <c r="A38" s="5" t="s">
        <v>29</v>
      </c>
      <c r="B38" s="6" t="n">
        <v>35236362</v>
      </c>
      <c r="C38" s="7" t="s">
        <v>16</v>
      </c>
      <c r="D38" s="16" t="s">
        <v>14</v>
      </c>
      <c r="E38" s="12" t="str">
        <f aca="false">IFERROR(__xludf.dummyfunction("""COMPUTED_VALUE"""),"Ibañez Adela")</f>
        <v>Ibañez Adela</v>
      </c>
      <c r="F38" s="10" t="str">
        <f aca="false">IFERROR(__xludf.dummyfunction("""COMPUTED_VALUE"""),"Sábado")</f>
        <v>Sábado</v>
      </c>
      <c r="G38" s="11" t="n">
        <f aca="false">IFERROR(__xludf.dummyfunction("""COMPUTED_VALUE"""),0.375)</f>
        <v>0.375</v>
      </c>
      <c r="H38" s="11" t="n">
        <f aca="false">IFERROR(__xludf.dummyfunction("""COMPUTED_VALUE"""),0.541666666666666)</f>
        <v>0.541666666666666</v>
      </c>
      <c r="I38" s="12" t="str">
        <f aca="false">IFERROR(__xludf.dummyfunction("""COMPUTED_VALUE"""),"AULA JS-004-")</f>
        <v>AULA JS-004-</v>
      </c>
      <c r="J38" s="12" t="str">
        <f aca="false">IFERROR(__xludf.dummyfunction("""COMPUTED_VALUE"""),"JUSTICIA SOCIAL")</f>
        <v>JUSTICIA SOCIAL</v>
      </c>
      <c r="K38" s="13" t="s">
        <v>15</v>
      </c>
      <c r="L38" s="14" t="n">
        <v>3</v>
      </c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customFormat="false" ht="15.75" hidden="false" customHeight="true" outlineLevel="0" collapsed="false">
      <c r="A39" s="5" t="s">
        <v>29</v>
      </c>
      <c r="B39" s="6" t="n">
        <v>35236362</v>
      </c>
      <c r="C39" s="17" t="s">
        <v>17</v>
      </c>
      <c r="D39" s="16" t="s">
        <v>14</v>
      </c>
      <c r="E39" s="12" t="str">
        <f aca="false">IFERROR(__xludf.dummyfunction("""COMPUTED_VALUE"""),"Mannocchi Valentina")</f>
        <v>Mannocchi Valentina</v>
      </c>
      <c r="F39" s="10" t="str">
        <f aca="false">IFERROR(__xludf.dummyfunction("""COMPUTED_VALUE"""),"Jueves")</f>
        <v>Jueves</v>
      </c>
      <c r="G39" s="11" t="n">
        <f aca="false">IFERROR(__xludf.dummyfunction("""COMPUTED_VALUE"""),0.333333333333333)</f>
        <v>0.333333333333333</v>
      </c>
      <c r="H39" s="11" t="n">
        <f aca="false">IFERROR(__xludf.dummyfunction("""COMPUTED_VALUE"""),0.5)</f>
        <v>0.5</v>
      </c>
      <c r="I39" s="12" t="str">
        <f aca="false">IFERROR(__xludf.dummyfunction("""COMPUTED_VALUE"""),"AULA JS-004-")</f>
        <v>AULA JS-004-</v>
      </c>
      <c r="J39" s="12" t="str">
        <f aca="false">IFERROR(__xludf.dummyfunction("""COMPUTED_VALUE"""),"JUSTICIA SOCIAL")</f>
        <v>JUSTICIA SOCIAL</v>
      </c>
      <c r="K39" s="13" t="s">
        <v>15</v>
      </c>
      <c r="L39" s="14" t="n">
        <v>3</v>
      </c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customFormat="false" ht="15.75" hidden="false" customHeight="true" outlineLevel="0" collapsed="false">
      <c r="A40" s="5" t="s">
        <v>29</v>
      </c>
      <c r="B40" s="6" t="n">
        <v>35236362</v>
      </c>
      <c r="C40" s="7" t="s">
        <v>13</v>
      </c>
      <c r="D40" s="16" t="s">
        <v>14</v>
      </c>
      <c r="E40" s="12" t="str">
        <f aca="false">IFERROR(__xludf.dummyfunction("""COMPUTED_VALUE"""),"Mejuto Ivana")</f>
        <v>Mejuto Ivana</v>
      </c>
      <c r="F40" s="10" t="str">
        <f aca="false">IFERROR(__xludf.dummyfunction("""COMPUTED_VALUE"""),"Martes")</f>
        <v>Martes</v>
      </c>
      <c r="G40" s="11" t="n">
        <f aca="false">IFERROR(__xludf.dummyfunction("""COMPUTED_VALUE"""),0.333333333333333)</f>
        <v>0.333333333333333</v>
      </c>
      <c r="H40" s="11" t="n">
        <f aca="false">IFERROR(__xludf.dummyfunction("""COMPUTED_VALUE"""),0.5)</f>
        <v>0.5</v>
      </c>
      <c r="I40" s="12" t="str">
        <f aca="false">IFERROR(__xludf.dummyfunction("""COMPUTED_VALUE"""),"AULA JS-004-")</f>
        <v>AULA JS-004-</v>
      </c>
      <c r="J40" s="12" t="str">
        <f aca="false">IFERROR(__xludf.dummyfunction("""COMPUTED_VALUE"""),"JUSTICIA SOCIAL")</f>
        <v>JUSTICIA SOCIAL</v>
      </c>
      <c r="K40" s="13" t="s">
        <v>15</v>
      </c>
      <c r="L40" s="14" t="n">
        <v>3</v>
      </c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customFormat="false" ht="15.75" hidden="false" customHeight="true" outlineLevel="0" collapsed="false">
      <c r="A41" s="5" t="s">
        <v>30</v>
      </c>
      <c r="B41" s="6" t="n">
        <v>36701351</v>
      </c>
      <c r="C41" s="7" t="s">
        <v>16</v>
      </c>
      <c r="D41" s="16" t="s">
        <v>14</v>
      </c>
      <c r="E41" s="12" t="str">
        <f aca="false">IFERROR(__xludf.dummyfunction("""COMPUTED_VALUE"""),"Ibañez Adela")</f>
        <v>Ibañez Adela</v>
      </c>
      <c r="F41" s="10" t="str">
        <f aca="false">IFERROR(__xludf.dummyfunction("""COMPUTED_VALUE"""),"Sábado")</f>
        <v>Sábado</v>
      </c>
      <c r="G41" s="11" t="n">
        <f aca="false">IFERROR(__xludf.dummyfunction("""COMPUTED_VALUE"""),0.375)</f>
        <v>0.375</v>
      </c>
      <c r="H41" s="11" t="n">
        <f aca="false">IFERROR(__xludf.dummyfunction("""COMPUTED_VALUE"""),0.541666666666666)</f>
        <v>0.541666666666666</v>
      </c>
      <c r="I41" s="12" t="str">
        <f aca="false">IFERROR(__xludf.dummyfunction("""COMPUTED_VALUE"""),"AULA JS-004-")</f>
        <v>AULA JS-004-</v>
      </c>
      <c r="J41" s="12" t="str">
        <f aca="false">IFERROR(__xludf.dummyfunction("""COMPUTED_VALUE"""),"JUSTICIA SOCIAL")</f>
        <v>JUSTICIA SOCIAL</v>
      </c>
      <c r="K41" s="13" t="s">
        <v>15</v>
      </c>
      <c r="L41" s="14" t="n">
        <v>4</v>
      </c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customFormat="false" ht="15.75" hidden="false" customHeight="true" outlineLevel="0" collapsed="false">
      <c r="A42" s="5" t="s">
        <v>30</v>
      </c>
      <c r="B42" s="6" t="n">
        <v>36701351</v>
      </c>
      <c r="C42" s="17" t="s">
        <v>17</v>
      </c>
      <c r="D42" s="16" t="s">
        <v>14</v>
      </c>
      <c r="E42" s="12" t="str">
        <f aca="false">IFERROR(__xludf.dummyfunction("""COMPUTED_VALUE"""),"Mannocchi Valentina")</f>
        <v>Mannocchi Valentina</v>
      </c>
      <c r="F42" s="10" t="str">
        <f aca="false">IFERROR(__xludf.dummyfunction("""COMPUTED_VALUE"""),"Jueves")</f>
        <v>Jueves</v>
      </c>
      <c r="G42" s="11" t="n">
        <f aca="false">IFERROR(__xludf.dummyfunction("""COMPUTED_VALUE"""),0.333333333333333)</f>
        <v>0.333333333333333</v>
      </c>
      <c r="H42" s="11" t="n">
        <f aca="false">IFERROR(__xludf.dummyfunction("""COMPUTED_VALUE"""),0.5)</f>
        <v>0.5</v>
      </c>
      <c r="I42" s="12" t="str">
        <f aca="false">IFERROR(__xludf.dummyfunction("""COMPUTED_VALUE"""),"AULA JS-004-")</f>
        <v>AULA JS-004-</v>
      </c>
      <c r="J42" s="12" t="str">
        <f aca="false">IFERROR(__xludf.dummyfunction("""COMPUTED_VALUE"""),"JUSTICIA SOCIAL")</f>
        <v>JUSTICIA SOCIAL</v>
      </c>
      <c r="K42" s="13" t="s">
        <v>15</v>
      </c>
      <c r="L42" s="14" t="n">
        <v>4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customFormat="false" ht="15.75" hidden="false" customHeight="true" outlineLevel="0" collapsed="false">
      <c r="A43" s="5" t="s">
        <v>30</v>
      </c>
      <c r="B43" s="6" t="n">
        <v>36701351</v>
      </c>
      <c r="C43" s="7" t="s">
        <v>13</v>
      </c>
      <c r="D43" s="16" t="s">
        <v>14</v>
      </c>
      <c r="E43" s="12" t="str">
        <f aca="false">IFERROR(__xludf.dummyfunction("""COMPUTED_VALUE"""),"Mejuto Ivana")</f>
        <v>Mejuto Ivana</v>
      </c>
      <c r="F43" s="10" t="str">
        <f aca="false">IFERROR(__xludf.dummyfunction("""COMPUTED_VALUE"""),"Martes")</f>
        <v>Martes</v>
      </c>
      <c r="G43" s="11" t="n">
        <f aca="false">IFERROR(__xludf.dummyfunction("""COMPUTED_VALUE"""),0.333333333333333)</f>
        <v>0.333333333333333</v>
      </c>
      <c r="H43" s="11" t="n">
        <f aca="false">IFERROR(__xludf.dummyfunction("""COMPUTED_VALUE"""),0.5)</f>
        <v>0.5</v>
      </c>
      <c r="I43" s="12" t="str">
        <f aca="false">IFERROR(__xludf.dummyfunction("""COMPUTED_VALUE"""),"AULA JS-004-")</f>
        <v>AULA JS-004-</v>
      </c>
      <c r="J43" s="12" t="str">
        <f aca="false">IFERROR(__xludf.dummyfunction("""COMPUTED_VALUE"""),"JUSTICIA SOCIAL")</f>
        <v>JUSTICIA SOCIAL</v>
      </c>
      <c r="K43" s="13" t="s">
        <v>15</v>
      </c>
      <c r="L43" s="14" t="n">
        <v>4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customFormat="false" ht="15.75" hidden="false" customHeight="true" outlineLevel="0" collapsed="false">
      <c r="A44" s="5" t="s">
        <v>31</v>
      </c>
      <c r="B44" s="6" t="n">
        <v>46444634</v>
      </c>
      <c r="C44" s="7" t="s">
        <v>16</v>
      </c>
      <c r="D44" s="16" t="s">
        <v>14</v>
      </c>
      <c r="E44" s="12" t="str">
        <f aca="false">IFERROR(__xludf.dummyfunction("""COMPUTED_VALUE"""),"Ibañez Adela")</f>
        <v>Ibañez Adela</v>
      </c>
      <c r="F44" s="10" t="str">
        <f aca="false">IFERROR(__xludf.dummyfunction("""COMPUTED_VALUE"""),"Sábado")</f>
        <v>Sábado</v>
      </c>
      <c r="G44" s="11" t="n">
        <f aca="false">IFERROR(__xludf.dummyfunction("""COMPUTED_VALUE"""),0.375)</f>
        <v>0.375</v>
      </c>
      <c r="H44" s="11" t="n">
        <f aca="false">IFERROR(__xludf.dummyfunction("""COMPUTED_VALUE"""),0.541666666666666)</f>
        <v>0.541666666666666</v>
      </c>
      <c r="I44" s="12" t="str">
        <f aca="false">IFERROR(__xludf.dummyfunction("""COMPUTED_VALUE"""),"AULA JS-004-")</f>
        <v>AULA JS-004-</v>
      </c>
      <c r="J44" s="12" t="str">
        <f aca="false">IFERROR(__xludf.dummyfunction("""COMPUTED_VALUE"""),"JUSTICIA SOCIAL")</f>
        <v>JUSTICIA SOCIAL</v>
      </c>
      <c r="K44" s="13" t="s">
        <v>15</v>
      </c>
      <c r="L44" s="14" t="n">
        <v>2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customFormat="false" ht="15.75" hidden="false" customHeight="true" outlineLevel="0" collapsed="false">
      <c r="A45" s="5" t="s">
        <v>31</v>
      </c>
      <c r="B45" s="6" t="n">
        <v>46444634</v>
      </c>
      <c r="C45" s="17" t="s">
        <v>17</v>
      </c>
      <c r="D45" s="16" t="s">
        <v>14</v>
      </c>
      <c r="E45" s="12" t="str">
        <f aca="false">IFERROR(__xludf.dummyfunction("""COMPUTED_VALUE"""),"Mannocchi Valentina")</f>
        <v>Mannocchi Valentina</v>
      </c>
      <c r="F45" s="10" t="str">
        <f aca="false">IFERROR(__xludf.dummyfunction("""COMPUTED_VALUE"""),"Jueves")</f>
        <v>Jueves</v>
      </c>
      <c r="G45" s="11" t="n">
        <f aca="false">IFERROR(__xludf.dummyfunction("""COMPUTED_VALUE"""),0.333333333333333)</f>
        <v>0.333333333333333</v>
      </c>
      <c r="H45" s="11" t="n">
        <f aca="false">IFERROR(__xludf.dummyfunction("""COMPUTED_VALUE"""),0.5)</f>
        <v>0.5</v>
      </c>
      <c r="I45" s="12" t="str">
        <f aca="false">IFERROR(__xludf.dummyfunction("""COMPUTED_VALUE"""),"AULA JS-004-")</f>
        <v>AULA JS-004-</v>
      </c>
      <c r="J45" s="12" t="str">
        <f aca="false">IFERROR(__xludf.dummyfunction("""COMPUTED_VALUE"""),"JUSTICIA SOCIAL")</f>
        <v>JUSTICIA SOCIAL</v>
      </c>
      <c r="K45" s="13" t="s">
        <v>15</v>
      </c>
      <c r="L45" s="14" t="n">
        <v>2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customFormat="false" ht="15.75" hidden="false" customHeight="true" outlineLevel="0" collapsed="false">
      <c r="A46" s="5" t="s">
        <v>31</v>
      </c>
      <c r="B46" s="6" t="n">
        <v>46444634</v>
      </c>
      <c r="C46" s="7" t="s">
        <v>13</v>
      </c>
      <c r="D46" s="16" t="s">
        <v>14</v>
      </c>
      <c r="E46" s="12" t="str">
        <f aca="false">IFERROR(__xludf.dummyfunction("""COMPUTED_VALUE"""),"Mejuto Ivana")</f>
        <v>Mejuto Ivana</v>
      </c>
      <c r="F46" s="10" t="str">
        <f aca="false">IFERROR(__xludf.dummyfunction("""COMPUTED_VALUE"""),"Martes")</f>
        <v>Martes</v>
      </c>
      <c r="G46" s="11" t="n">
        <f aca="false">IFERROR(__xludf.dummyfunction("""COMPUTED_VALUE"""),0.333333333333333)</f>
        <v>0.333333333333333</v>
      </c>
      <c r="H46" s="11" t="n">
        <f aca="false">IFERROR(__xludf.dummyfunction("""COMPUTED_VALUE"""),0.5)</f>
        <v>0.5</v>
      </c>
      <c r="I46" s="12" t="str">
        <f aca="false">IFERROR(__xludf.dummyfunction("""COMPUTED_VALUE"""),"AULA JS-004-")</f>
        <v>AULA JS-004-</v>
      </c>
      <c r="J46" s="12" t="str">
        <f aca="false">IFERROR(__xludf.dummyfunction("""COMPUTED_VALUE"""),"JUSTICIA SOCIAL")</f>
        <v>JUSTICIA SOCIAL</v>
      </c>
      <c r="K46" s="13" t="s">
        <v>15</v>
      </c>
      <c r="L46" s="14" t="n">
        <v>2</v>
      </c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customFormat="false" ht="15.75" hidden="false" customHeight="true" outlineLevel="0" collapsed="false">
      <c r="A47" s="5" t="s">
        <v>32</v>
      </c>
      <c r="B47" s="6" t="n">
        <v>32926439</v>
      </c>
      <c r="C47" s="7" t="s">
        <v>16</v>
      </c>
      <c r="D47" s="16" t="s">
        <v>14</v>
      </c>
      <c r="E47" s="12" t="str">
        <f aca="false">IFERROR(__xludf.dummyfunction("""COMPUTED_VALUE"""),"Ibañez Adela")</f>
        <v>Ibañez Adela</v>
      </c>
      <c r="F47" s="10" t="str">
        <f aca="false">IFERROR(__xludf.dummyfunction("""COMPUTED_VALUE"""),"Sábado")</f>
        <v>Sábado</v>
      </c>
      <c r="G47" s="11" t="n">
        <f aca="false">IFERROR(__xludf.dummyfunction("""COMPUTED_VALUE"""),0.375)</f>
        <v>0.375</v>
      </c>
      <c r="H47" s="11" t="n">
        <f aca="false">IFERROR(__xludf.dummyfunction("""COMPUTED_VALUE"""),0.541666666666666)</f>
        <v>0.541666666666666</v>
      </c>
      <c r="I47" s="12" t="str">
        <f aca="false">IFERROR(__xludf.dummyfunction("""COMPUTED_VALUE"""),"AULA JS-004-")</f>
        <v>AULA JS-004-</v>
      </c>
      <c r="J47" s="12" t="str">
        <f aca="false">IFERROR(__xludf.dummyfunction("""COMPUTED_VALUE"""),"JUSTICIA SOCIAL")</f>
        <v>JUSTICIA SOCIAL</v>
      </c>
      <c r="K47" s="13" t="s">
        <v>15</v>
      </c>
      <c r="L47" s="14" t="n">
        <v>4</v>
      </c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customFormat="false" ht="15.75" hidden="false" customHeight="true" outlineLevel="0" collapsed="false">
      <c r="A48" s="5" t="s">
        <v>32</v>
      </c>
      <c r="B48" s="6" t="n">
        <v>32926439</v>
      </c>
      <c r="C48" s="17" t="s">
        <v>17</v>
      </c>
      <c r="D48" s="16" t="s">
        <v>14</v>
      </c>
      <c r="E48" s="12" t="str">
        <f aca="false">IFERROR(__xludf.dummyfunction("""COMPUTED_VALUE"""),"Mannocchi Valentina")</f>
        <v>Mannocchi Valentina</v>
      </c>
      <c r="F48" s="10" t="str">
        <f aca="false">IFERROR(__xludf.dummyfunction("""COMPUTED_VALUE"""),"Jueves")</f>
        <v>Jueves</v>
      </c>
      <c r="G48" s="11" t="n">
        <f aca="false">IFERROR(__xludf.dummyfunction("""COMPUTED_VALUE"""),0.333333333333333)</f>
        <v>0.333333333333333</v>
      </c>
      <c r="H48" s="11" t="n">
        <f aca="false">IFERROR(__xludf.dummyfunction("""COMPUTED_VALUE"""),0.5)</f>
        <v>0.5</v>
      </c>
      <c r="I48" s="12" t="str">
        <f aca="false">IFERROR(__xludf.dummyfunction("""COMPUTED_VALUE"""),"AULA JS-004-")</f>
        <v>AULA JS-004-</v>
      </c>
      <c r="J48" s="12" t="str">
        <f aca="false">IFERROR(__xludf.dummyfunction("""COMPUTED_VALUE"""),"JUSTICIA SOCIAL")</f>
        <v>JUSTICIA SOCIAL</v>
      </c>
      <c r="K48" s="13" t="s">
        <v>15</v>
      </c>
      <c r="L48" s="14" t="n">
        <v>4</v>
      </c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 customFormat="false" ht="15.75" hidden="false" customHeight="true" outlineLevel="0" collapsed="false">
      <c r="A49" s="5" t="s">
        <v>32</v>
      </c>
      <c r="B49" s="6" t="n">
        <v>32926439</v>
      </c>
      <c r="C49" s="7" t="s">
        <v>13</v>
      </c>
      <c r="D49" s="16" t="s">
        <v>14</v>
      </c>
      <c r="E49" s="12" t="str">
        <f aca="false">IFERROR(__xludf.dummyfunction("""COMPUTED_VALUE"""),"Mejuto Ivana")</f>
        <v>Mejuto Ivana</v>
      </c>
      <c r="F49" s="10" t="str">
        <f aca="false">IFERROR(__xludf.dummyfunction("""COMPUTED_VALUE"""),"Martes")</f>
        <v>Martes</v>
      </c>
      <c r="G49" s="11" t="n">
        <f aca="false">IFERROR(__xludf.dummyfunction("""COMPUTED_VALUE"""),0.333333333333333)</f>
        <v>0.333333333333333</v>
      </c>
      <c r="H49" s="11" t="n">
        <f aca="false">IFERROR(__xludf.dummyfunction("""COMPUTED_VALUE"""),0.5)</f>
        <v>0.5</v>
      </c>
      <c r="I49" s="12" t="str">
        <f aca="false">IFERROR(__xludf.dummyfunction("""COMPUTED_VALUE"""),"AULA JS-004-")</f>
        <v>AULA JS-004-</v>
      </c>
      <c r="J49" s="12" t="str">
        <f aca="false">IFERROR(__xludf.dummyfunction("""COMPUTED_VALUE"""),"JUSTICIA SOCIAL")</f>
        <v>JUSTICIA SOCIAL</v>
      </c>
      <c r="K49" s="13" t="s">
        <v>15</v>
      </c>
      <c r="L49" s="14" t="n">
        <v>4</v>
      </c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 customFormat="false" ht="15.75" hidden="false" customHeight="true" outlineLevel="0" collapsed="false">
      <c r="A50" s="5" t="s">
        <v>33</v>
      </c>
      <c r="B50" s="6" t="n">
        <v>45755466</v>
      </c>
      <c r="C50" s="7" t="s">
        <v>16</v>
      </c>
      <c r="D50" s="16" t="s">
        <v>14</v>
      </c>
      <c r="E50" s="12" t="str">
        <f aca="false">IFERROR(__xludf.dummyfunction("""COMPUTED_VALUE"""),"Ibañez Adela")</f>
        <v>Ibañez Adela</v>
      </c>
      <c r="F50" s="10" t="str">
        <f aca="false">IFERROR(__xludf.dummyfunction("""COMPUTED_VALUE"""),"Sábado")</f>
        <v>Sábado</v>
      </c>
      <c r="G50" s="11" t="n">
        <f aca="false">IFERROR(__xludf.dummyfunction("""COMPUTED_VALUE"""),0.375)</f>
        <v>0.375</v>
      </c>
      <c r="H50" s="11" t="n">
        <f aca="false">IFERROR(__xludf.dummyfunction("""COMPUTED_VALUE"""),0.541666666666666)</f>
        <v>0.541666666666666</v>
      </c>
      <c r="I50" s="12" t="str">
        <f aca="false">IFERROR(__xludf.dummyfunction("""COMPUTED_VALUE"""),"AULA JS-004-")</f>
        <v>AULA JS-004-</v>
      </c>
      <c r="J50" s="12" t="str">
        <f aca="false">IFERROR(__xludf.dummyfunction("""COMPUTED_VALUE"""),"JUSTICIA SOCIAL")</f>
        <v>JUSTICIA SOCIAL</v>
      </c>
      <c r="K50" s="13" t="s">
        <v>15</v>
      </c>
      <c r="L50" s="14" t="n">
        <v>2</v>
      </c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customFormat="false" ht="15.75" hidden="false" customHeight="true" outlineLevel="0" collapsed="false">
      <c r="A51" s="5" t="s">
        <v>33</v>
      </c>
      <c r="B51" s="6" t="n">
        <v>45755466</v>
      </c>
      <c r="C51" s="17" t="s">
        <v>17</v>
      </c>
      <c r="D51" s="16" t="s">
        <v>14</v>
      </c>
      <c r="E51" s="12" t="str">
        <f aca="false">IFERROR(__xludf.dummyfunction("""COMPUTED_VALUE"""),"Mannocchi Valentina")</f>
        <v>Mannocchi Valentina</v>
      </c>
      <c r="F51" s="10" t="str">
        <f aca="false">IFERROR(__xludf.dummyfunction("""COMPUTED_VALUE"""),"Jueves")</f>
        <v>Jueves</v>
      </c>
      <c r="G51" s="11" t="n">
        <f aca="false">IFERROR(__xludf.dummyfunction("""COMPUTED_VALUE"""),0.333333333333333)</f>
        <v>0.333333333333333</v>
      </c>
      <c r="H51" s="11" t="n">
        <f aca="false">IFERROR(__xludf.dummyfunction("""COMPUTED_VALUE"""),0.5)</f>
        <v>0.5</v>
      </c>
      <c r="I51" s="12" t="str">
        <f aca="false">IFERROR(__xludf.dummyfunction("""COMPUTED_VALUE"""),"AULA JS-004-")</f>
        <v>AULA JS-004-</v>
      </c>
      <c r="J51" s="12" t="str">
        <f aca="false">IFERROR(__xludf.dummyfunction("""COMPUTED_VALUE"""),"JUSTICIA SOCIAL")</f>
        <v>JUSTICIA SOCIAL</v>
      </c>
      <c r="K51" s="13" t="s">
        <v>15</v>
      </c>
      <c r="L51" s="14" t="n">
        <v>2</v>
      </c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 customFormat="false" ht="15.75" hidden="false" customHeight="true" outlineLevel="0" collapsed="false">
      <c r="A52" s="5" t="s">
        <v>33</v>
      </c>
      <c r="B52" s="6" t="n">
        <v>45755466</v>
      </c>
      <c r="C52" s="7" t="s">
        <v>13</v>
      </c>
      <c r="D52" s="16" t="s">
        <v>14</v>
      </c>
      <c r="E52" s="12" t="str">
        <f aca="false">IFERROR(__xludf.dummyfunction("""COMPUTED_VALUE"""),"Mejuto Ivana")</f>
        <v>Mejuto Ivana</v>
      </c>
      <c r="F52" s="10" t="str">
        <f aca="false">IFERROR(__xludf.dummyfunction("""COMPUTED_VALUE"""),"Martes")</f>
        <v>Martes</v>
      </c>
      <c r="G52" s="11" t="n">
        <f aca="false">IFERROR(__xludf.dummyfunction("""COMPUTED_VALUE"""),0.333333333333333)</f>
        <v>0.333333333333333</v>
      </c>
      <c r="H52" s="11" t="n">
        <f aca="false">IFERROR(__xludf.dummyfunction("""COMPUTED_VALUE"""),0.5)</f>
        <v>0.5</v>
      </c>
      <c r="I52" s="12" t="str">
        <f aca="false">IFERROR(__xludf.dummyfunction("""COMPUTED_VALUE"""),"AULA JS-004-")</f>
        <v>AULA JS-004-</v>
      </c>
      <c r="J52" s="12" t="str">
        <f aca="false">IFERROR(__xludf.dummyfunction("""COMPUTED_VALUE"""),"JUSTICIA SOCIAL")</f>
        <v>JUSTICIA SOCIAL</v>
      </c>
      <c r="K52" s="13" t="s">
        <v>15</v>
      </c>
      <c r="L52" s="14" t="n">
        <v>2</v>
      </c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customFormat="false" ht="15.75" hidden="false" customHeight="true" outlineLevel="0" collapsed="false">
      <c r="A53" s="5" t="s">
        <v>34</v>
      </c>
      <c r="B53" s="6" t="n">
        <v>38820237</v>
      </c>
      <c r="C53" s="7" t="s">
        <v>16</v>
      </c>
      <c r="D53" s="16" t="s">
        <v>14</v>
      </c>
      <c r="E53" s="12" t="str">
        <f aca="false">IFERROR(__xludf.dummyfunction("""COMPUTED_VALUE"""),"Ibañez Adela")</f>
        <v>Ibañez Adela</v>
      </c>
      <c r="F53" s="10" t="str">
        <f aca="false">IFERROR(__xludf.dummyfunction("""COMPUTED_VALUE"""),"Sábado")</f>
        <v>Sábado</v>
      </c>
      <c r="G53" s="11" t="n">
        <f aca="false">IFERROR(__xludf.dummyfunction("""COMPUTED_VALUE"""),0.375)</f>
        <v>0.375</v>
      </c>
      <c r="H53" s="11" t="n">
        <f aca="false">IFERROR(__xludf.dummyfunction("""COMPUTED_VALUE"""),0.541666666666666)</f>
        <v>0.541666666666666</v>
      </c>
      <c r="I53" s="12" t="str">
        <f aca="false">IFERROR(__xludf.dummyfunction("""COMPUTED_VALUE"""),"AULA JS-004-")</f>
        <v>AULA JS-004-</v>
      </c>
      <c r="J53" s="12" t="str">
        <f aca="false">IFERROR(__xludf.dummyfunction("""COMPUTED_VALUE"""),"JUSTICIA SOCIAL")</f>
        <v>JUSTICIA SOCIAL</v>
      </c>
      <c r="K53" s="13" t="s">
        <v>15</v>
      </c>
      <c r="L53" s="14" t="n">
        <v>2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customFormat="false" ht="15.75" hidden="false" customHeight="true" outlineLevel="0" collapsed="false">
      <c r="A54" s="5" t="s">
        <v>34</v>
      </c>
      <c r="B54" s="6" t="n">
        <v>38820237</v>
      </c>
      <c r="C54" s="17" t="s">
        <v>17</v>
      </c>
      <c r="D54" s="16" t="s">
        <v>14</v>
      </c>
      <c r="E54" s="12" t="str">
        <f aca="false">IFERROR(__xludf.dummyfunction("""COMPUTED_VALUE"""),"Mannocchi Valentina")</f>
        <v>Mannocchi Valentina</v>
      </c>
      <c r="F54" s="10" t="str">
        <f aca="false">IFERROR(__xludf.dummyfunction("""COMPUTED_VALUE"""),"Jueves")</f>
        <v>Jueves</v>
      </c>
      <c r="G54" s="11" t="n">
        <f aca="false">IFERROR(__xludf.dummyfunction("""COMPUTED_VALUE"""),0.333333333333333)</f>
        <v>0.333333333333333</v>
      </c>
      <c r="H54" s="11" t="n">
        <f aca="false">IFERROR(__xludf.dummyfunction("""COMPUTED_VALUE"""),0.5)</f>
        <v>0.5</v>
      </c>
      <c r="I54" s="12" t="str">
        <f aca="false">IFERROR(__xludf.dummyfunction("""COMPUTED_VALUE"""),"AULA JS-004-")</f>
        <v>AULA JS-004-</v>
      </c>
      <c r="J54" s="12" t="str">
        <f aca="false">IFERROR(__xludf.dummyfunction("""COMPUTED_VALUE"""),"JUSTICIA SOCIAL")</f>
        <v>JUSTICIA SOCIAL</v>
      </c>
      <c r="K54" s="13" t="s">
        <v>15</v>
      </c>
      <c r="L54" s="14" t="n">
        <v>2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customFormat="false" ht="15.75" hidden="false" customHeight="true" outlineLevel="0" collapsed="false">
      <c r="A55" s="5" t="s">
        <v>34</v>
      </c>
      <c r="B55" s="6" t="n">
        <v>38820237</v>
      </c>
      <c r="C55" s="7" t="s">
        <v>13</v>
      </c>
      <c r="D55" s="16" t="s">
        <v>14</v>
      </c>
      <c r="E55" s="12" t="str">
        <f aca="false">IFERROR(__xludf.dummyfunction("""COMPUTED_VALUE"""),"Mejuto Ivana")</f>
        <v>Mejuto Ivana</v>
      </c>
      <c r="F55" s="10" t="str">
        <f aca="false">IFERROR(__xludf.dummyfunction("""COMPUTED_VALUE"""),"Martes")</f>
        <v>Martes</v>
      </c>
      <c r="G55" s="11" t="n">
        <f aca="false">IFERROR(__xludf.dummyfunction("""COMPUTED_VALUE"""),0.333333333333333)</f>
        <v>0.333333333333333</v>
      </c>
      <c r="H55" s="11" t="n">
        <f aca="false">IFERROR(__xludf.dummyfunction("""COMPUTED_VALUE"""),0.5)</f>
        <v>0.5</v>
      </c>
      <c r="I55" s="12" t="str">
        <f aca="false">IFERROR(__xludf.dummyfunction("""COMPUTED_VALUE"""),"AULA JS-004-")</f>
        <v>AULA JS-004-</v>
      </c>
      <c r="J55" s="12" t="str">
        <f aca="false">IFERROR(__xludf.dummyfunction("""COMPUTED_VALUE"""),"JUSTICIA SOCIAL")</f>
        <v>JUSTICIA SOCIAL</v>
      </c>
      <c r="K55" s="13" t="s">
        <v>15</v>
      </c>
      <c r="L55" s="14" t="n">
        <v>2</v>
      </c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customFormat="false" ht="15.75" hidden="false" customHeight="true" outlineLevel="0" collapsed="false">
      <c r="A56" s="5" t="s">
        <v>35</v>
      </c>
      <c r="B56" s="6" t="n">
        <v>31006064</v>
      </c>
      <c r="C56" s="7" t="s">
        <v>16</v>
      </c>
      <c r="D56" s="16" t="s">
        <v>14</v>
      </c>
      <c r="E56" s="12" t="str">
        <f aca="false">IFERROR(__xludf.dummyfunction("""COMPUTED_VALUE"""),"Ibañez Adela")</f>
        <v>Ibañez Adela</v>
      </c>
      <c r="F56" s="10" t="str">
        <f aca="false">IFERROR(__xludf.dummyfunction("""COMPUTED_VALUE"""),"Sábado")</f>
        <v>Sábado</v>
      </c>
      <c r="G56" s="11" t="n">
        <f aca="false">IFERROR(__xludf.dummyfunction("""COMPUTED_VALUE"""),0.375)</f>
        <v>0.375</v>
      </c>
      <c r="H56" s="11" t="n">
        <f aca="false">IFERROR(__xludf.dummyfunction("""COMPUTED_VALUE"""),0.541666666666666)</f>
        <v>0.541666666666666</v>
      </c>
      <c r="I56" s="12" t="str">
        <f aca="false">IFERROR(__xludf.dummyfunction("""COMPUTED_VALUE"""),"AULA JS-004-")</f>
        <v>AULA JS-004-</v>
      </c>
      <c r="J56" s="12" t="str">
        <f aca="false">IFERROR(__xludf.dummyfunction("""COMPUTED_VALUE"""),"JUSTICIA SOCIAL")</f>
        <v>JUSTICIA SOCIAL</v>
      </c>
      <c r="K56" s="13" t="s">
        <v>15</v>
      </c>
      <c r="L56" s="14" t="n">
        <v>2</v>
      </c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customFormat="false" ht="15.75" hidden="false" customHeight="true" outlineLevel="0" collapsed="false">
      <c r="A57" s="5" t="s">
        <v>35</v>
      </c>
      <c r="B57" s="6" t="n">
        <v>31006064</v>
      </c>
      <c r="C57" s="17" t="s">
        <v>17</v>
      </c>
      <c r="D57" s="16" t="s">
        <v>14</v>
      </c>
      <c r="E57" s="12" t="str">
        <f aca="false">IFERROR(__xludf.dummyfunction("""COMPUTED_VALUE"""),"Mannocchi Valentina")</f>
        <v>Mannocchi Valentina</v>
      </c>
      <c r="F57" s="10" t="str">
        <f aca="false">IFERROR(__xludf.dummyfunction("""COMPUTED_VALUE"""),"Jueves")</f>
        <v>Jueves</v>
      </c>
      <c r="G57" s="11" t="n">
        <f aca="false">IFERROR(__xludf.dummyfunction("""COMPUTED_VALUE"""),0.333333333333333)</f>
        <v>0.333333333333333</v>
      </c>
      <c r="H57" s="11" t="n">
        <f aca="false">IFERROR(__xludf.dummyfunction("""COMPUTED_VALUE"""),0.5)</f>
        <v>0.5</v>
      </c>
      <c r="I57" s="12" t="str">
        <f aca="false">IFERROR(__xludf.dummyfunction("""COMPUTED_VALUE"""),"AULA JS-004-")</f>
        <v>AULA JS-004-</v>
      </c>
      <c r="J57" s="12" t="str">
        <f aca="false">IFERROR(__xludf.dummyfunction("""COMPUTED_VALUE"""),"JUSTICIA SOCIAL")</f>
        <v>JUSTICIA SOCIAL</v>
      </c>
      <c r="K57" s="13" t="s">
        <v>15</v>
      </c>
      <c r="L57" s="14" t="n">
        <v>2</v>
      </c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customFormat="false" ht="15.75" hidden="false" customHeight="true" outlineLevel="0" collapsed="false">
      <c r="A58" s="5" t="s">
        <v>35</v>
      </c>
      <c r="B58" s="6" t="n">
        <v>31006064</v>
      </c>
      <c r="C58" s="7" t="s">
        <v>13</v>
      </c>
      <c r="D58" s="16" t="s">
        <v>14</v>
      </c>
      <c r="E58" s="12" t="str">
        <f aca="false">IFERROR(__xludf.dummyfunction("""COMPUTED_VALUE"""),"Mejuto Ivana")</f>
        <v>Mejuto Ivana</v>
      </c>
      <c r="F58" s="10" t="str">
        <f aca="false">IFERROR(__xludf.dummyfunction("""COMPUTED_VALUE"""),"Martes")</f>
        <v>Martes</v>
      </c>
      <c r="G58" s="11" t="n">
        <f aca="false">IFERROR(__xludf.dummyfunction("""COMPUTED_VALUE"""),0.333333333333333)</f>
        <v>0.333333333333333</v>
      </c>
      <c r="H58" s="11" t="n">
        <f aca="false">IFERROR(__xludf.dummyfunction("""COMPUTED_VALUE"""),0.5)</f>
        <v>0.5</v>
      </c>
      <c r="I58" s="12" t="str">
        <f aca="false">IFERROR(__xludf.dummyfunction("""COMPUTED_VALUE"""),"AULA JS-004-")</f>
        <v>AULA JS-004-</v>
      </c>
      <c r="J58" s="12" t="str">
        <f aca="false">IFERROR(__xludf.dummyfunction("""COMPUTED_VALUE"""),"JUSTICIA SOCIAL")</f>
        <v>JUSTICIA SOCIAL</v>
      </c>
      <c r="K58" s="13" t="s">
        <v>15</v>
      </c>
      <c r="L58" s="14" t="n">
        <v>2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customFormat="false" ht="15.75" hidden="false" customHeight="true" outlineLevel="0" collapsed="false">
      <c r="A59" s="5" t="s">
        <v>36</v>
      </c>
      <c r="B59" s="6" t="n">
        <v>36735598</v>
      </c>
      <c r="C59" s="7" t="s">
        <v>16</v>
      </c>
      <c r="D59" s="16" t="s">
        <v>14</v>
      </c>
      <c r="E59" s="12" t="str">
        <f aca="false">IFERROR(__xludf.dummyfunction("""COMPUTED_VALUE"""),"Ibañez Adela")</f>
        <v>Ibañez Adela</v>
      </c>
      <c r="F59" s="10" t="str">
        <f aca="false">IFERROR(__xludf.dummyfunction("""COMPUTED_VALUE"""),"Sábado")</f>
        <v>Sábado</v>
      </c>
      <c r="G59" s="11" t="n">
        <f aca="false">IFERROR(__xludf.dummyfunction("""COMPUTED_VALUE"""),0.375)</f>
        <v>0.375</v>
      </c>
      <c r="H59" s="11" t="n">
        <f aca="false">IFERROR(__xludf.dummyfunction("""COMPUTED_VALUE"""),0.541666666666666)</f>
        <v>0.541666666666666</v>
      </c>
      <c r="I59" s="12" t="str">
        <f aca="false">IFERROR(__xludf.dummyfunction("""COMPUTED_VALUE"""),"AULA JS-004-")</f>
        <v>AULA JS-004-</v>
      </c>
      <c r="J59" s="12" t="str">
        <f aca="false">IFERROR(__xludf.dummyfunction("""COMPUTED_VALUE"""),"JUSTICIA SOCIAL")</f>
        <v>JUSTICIA SOCIAL</v>
      </c>
      <c r="K59" s="13" t="s">
        <v>15</v>
      </c>
      <c r="L59" s="14" t="n">
        <v>5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 customFormat="false" ht="15.75" hidden="false" customHeight="true" outlineLevel="0" collapsed="false">
      <c r="A60" s="5" t="s">
        <v>36</v>
      </c>
      <c r="B60" s="6" t="n">
        <v>36735598</v>
      </c>
      <c r="C60" s="17" t="s">
        <v>17</v>
      </c>
      <c r="D60" s="16" t="s">
        <v>14</v>
      </c>
      <c r="E60" s="12" t="str">
        <f aca="false">IFERROR(__xludf.dummyfunction("""COMPUTED_VALUE"""),"Mannocchi Valentina")</f>
        <v>Mannocchi Valentina</v>
      </c>
      <c r="F60" s="10" t="str">
        <f aca="false">IFERROR(__xludf.dummyfunction("""COMPUTED_VALUE"""),"Jueves")</f>
        <v>Jueves</v>
      </c>
      <c r="G60" s="11" t="n">
        <f aca="false">IFERROR(__xludf.dummyfunction("""COMPUTED_VALUE"""),0.333333333333333)</f>
        <v>0.333333333333333</v>
      </c>
      <c r="H60" s="11" t="n">
        <f aca="false">IFERROR(__xludf.dummyfunction("""COMPUTED_VALUE"""),0.5)</f>
        <v>0.5</v>
      </c>
      <c r="I60" s="12" t="str">
        <f aca="false">IFERROR(__xludf.dummyfunction("""COMPUTED_VALUE"""),"AULA JS-004-")</f>
        <v>AULA JS-004-</v>
      </c>
      <c r="J60" s="12" t="str">
        <f aca="false">IFERROR(__xludf.dummyfunction("""COMPUTED_VALUE"""),"JUSTICIA SOCIAL")</f>
        <v>JUSTICIA SOCIAL</v>
      </c>
      <c r="K60" s="13" t="s">
        <v>15</v>
      </c>
      <c r="L60" s="14" t="n">
        <v>5</v>
      </c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customFormat="false" ht="15.75" hidden="false" customHeight="true" outlineLevel="0" collapsed="false">
      <c r="A61" s="5" t="s">
        <v>36</v>
      </c>
      <c r="B61" s="6" t="n">
        <v>36735598</v>
      </c>
      <c r="C61" s="7" t="s">
        <v>13</v>
      </c>
      <c r="D61" s="16" t="s">
        <v>14</v>
      </c>
      <c r="E61" s="12" t="str">
        <f aca="false">IFERROR(__xludf.dummyfunction("""COMPUTED_VALUE"""),"Mejuto Ivana")</f>
        <v>Mejuto Ivana</v>
      </c>
      <c r="F61" s="10" t="str">
        <f aca="false">IFERROR(__xludf.dummyfunction("""COMPUTED_VALUE"""),"Martes")</f>
        <v>Martes</v>
      </c>
      <c r="G61" s="11" t="n">
        <f aca="false">IFERROR(__xludf.dummyfunction("""COMPUTED_VALUE"""),0.333333333333333)</f>
        <v>0.333333333333333</v>
      </c>
      <c r="H61" s="11" t="n">
        <f aca="false">IFERROR(__xludf.dummyfunction("""COMPUTED_VALUE"""),0.5)</f>
        <v>0.5</v>
      </c>
      <c r="I61" s="12" t="str">
        <f aca="false">IFERROR(__xludf.dummyfunction("""COMPUTED_VALUE"""),"AULA JS-004-")</f>
        <v>AULA JS-004-</v>
      </c>
      <c r="J61" s="12" t="str">
        <f aca="false">IFERROR(__xludf.dummyfunction("""COMPUTED_VALUE"""),"JUSTICIA SOCIAL")</f>
        <v>JUSTICIA SOCIAL</v>
      </c>
      <c r="K61" s="13" t="s">
        <v>15</v>
      </c>
      <c r="L61" s="14" t="n">
        <v>5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customFormat="false" ht="15.75" hidden="false" customHeight="true" outlineLevel="0" collapsed="false">
      <c r="A62" s="5" t="s">
        <v>37</v>
      </c>
      <c r="B62" s="6" t="n">
        <v>23493096</v>
      </c>
      <c r="C62" s="7" t="s">
        <v>16</v>
      </c>
      <c r="D62" s="16" t="s">
        <v>14</v>
      </c>
      <c r="E62" s="12" t="str">
        <f aca="false">IFERROR(__xludf.dummyfunction("""COMPUTED_VALUE"""),"Ibañez Adela")</f>
        <v>Ibañez Adela</v>
      </c>
      <c r="F62" s="10" t="str">
        <f aca="false">IFERROR(__xludf.dummyfunction("""COMPUTED_VALUE"""),"Sábado")</f>
        <v>Sábado</v>
      </c>
      <c r="G62" s="11" t="n">
        <f aca="false">IFERROR(__xludf.dummyfunction("""COMPUTED_VALUE"""),0.375)</f>
        <v>0.375</v>
      </c>
      <c r="H62" s="11" t="n">
        <f aca="false">IFERROR(__xludf.dummyfunction("""COMPUTED_VALUE"""),0.541666666666666)</f>
        <v>0.541666666666666</v>
      </c>
      <c r="I62" s="12" t="str">
        <f aca="false">IFERROR(__xludf.dummyfunction("""COMPUTED_VALUE"""),"AULA JS-004-")</f>
        <v>AULA JS-004-</v>
      </c>
      <c r="J62" s="12" t="str">
        <f aca="false">IFERROR(__xludf.dummyfunction("""COMPUTED_VALUE"""),"JUSTICIA SOCIAL")</f>
        <v>JUSTICIA SOCIAL</v>
      </c>
      <c r="K62" s="13" t="s">
        <v>15</v>
      </c>
      <c r="L62" s="14" t="n">
        <v>3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 customFormat="false" ht="15.75" hidden="false" customHeight="true" outlineLevel="0" collapsed="false">
      <c r="A63" s="5" t="s">
        <v>38</v>
      </c>
      <c r="B63" s="6" t="n">
        <v>30825667</v>
      </c>
      <c r="C63" s="17" t="s">
        <v>17</v>
      </c>
      <c r="D63" s="16" t="s">
        <v>14</v>
      </c>
      <c r="E63" s="12" t="str">
        <f aca="false">IFERROR(__xludf.dummyfunction("""COMPUTED_VALUE"""),"Mannocchi Valentina")</f>
        <v>Mannocchi Valentina</v>
      </c>
      <c r="F63" s="10" t="str">
        <f aca="false">IFERROR(__xludf.dummyfunction("""COMPUTED_VALUE"""),"Jueves")</f>
        <v>Jueves</v>
      </c>
      <c r="G63" s="11" t="n">
        <f aca="false">IFERROR(__xludf.dummyfunction("""COMPUTED_VALUE"""),0.333333333333333)</f>
        <v>0.333333333333333</v>
      </c>
      <c r="H63" s="11" t="n">
        <f aca="false">IFERROR(__xludf.dummyfunction("""COMPUTED_VALUE"""),0.5)</f>
        <v>0.5</v>
      </c>
      <c r="I63" s="12" t="str">
        <f aca="false">IFERROR(__xludf.dummyfunction("""COMPUTED_VALUE"""),"AULA JS-004-")</f>
        <v>AULA JS-004-</v>
      </c>
      <c r="J63" s="12" t="str">
        <f aca="false">IFERROR(__xludf.dummyfunction("""COMPUTED_VALUE"""),"JUSTICIA SOCIAL")</f>
        <v>JUSTICIA SOCIAL</v>
      </c>
      <c r="K63" s="13" t="s">
        <v>15</v>
      </c>
      <c r="L63" s="14" t="n">
        <v>3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 customFormat="false" ht="15.75" hidden="false" customHeight="true" outlineLevel="0" collapsed="false">
      <c r="A64" s="5" t="s">
        <v>38</v>
      </c>
      <c r="B64" s="6" t="n">
        <v>30825667</v>
      </c>
      <c r="C64" s="7" t="s">
        <v>13</v>
      </c>
      <c r="D64" s="16" t="s">
        <v>14</v>
      </c>
      <c r="E64" s="12" t="str">
        <f aca="false">IFERROR(__xludf.dummyfunction("""COMPUTED_VALUE"""),"Mejuto Ivana")</f>
        <v>Mejuto Ivana</v>
      </c>
      <c r="F64" s="10" t="str">
        <f aca="false">IFERROR(__xludf.dummyfunction("""COMPUTED_VALUE"""),"Martes")</f>
        <v>Martes</v>
      </c>
      <c r="G64" s="11" t="n">
        <f aca="false">IFERROR(__xludf.dummyfunction("""COMPUTED_VALUE"""),0.333333333333333)</f>
        <v>0.333333333333333</v>
      </c>
      <c r="H64" s="11" t="n">
        <f aca="false">IFERROR(__xludf.dummyfunction("""COMPUTED_VALUE"""),0.5)</f>
        <v>0.5</v>
      </c>
      <c r="I64" s="12" t="str">
        <f aca="false">IFERROR(__xludf.dummyfunction("""COMPUTED_VALUE"""),"AULA JS-004-")</f>
        <v>AULA JS-004-</v>
      </c>
      <c r="J64" s="12" t="str">
        <f aca="false">IFERROR(__xludf.dummyfunction("""COMPUTED_VALUE"""),"JUSTICIA SOCIAL")</f>
        <v>JUSTICIA SOCIAL</v>
      </c>
      <c r="K64" s="13" t="s">
        <v>15</v>
      </c>
      <c r="L64" s="14" t="n">
        <v>3</v>
      </c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 customFormat="false" ht="15.75" hidden="false" customHeight="true" outlineLevel="0" collapsed="false">
      <c r="A65" s="5" t="s">
        <v>38</v>
      </c>
      <c r="B65" s="6" t="n">
        <v>30825667</v>
      </c>
      <c r="C65" s="7" t="s">
        <v>16</v>
      </c>
      <c r="D65" s="16" t="s">
        <v>14</v>
      </c>
      <c r="E65" s="12" t="str">
        <f aca="false">IFERROR(__xludf.dummyfunction("""COMPUTED_VALUE"""),"Ibañez Adela")</f>
        <v>Ibañez Adela</v>
      </c>
      <c r="F65" s="10" t="str">
        <f aca="false">IFERROR(__xludf.dummyfunction("""COMPUTED_VALUE"""),"Sábado")</f>
        <v>Sábado</v>
      </c>
      <c r="G65" s="11" t="n">
        <f aca="false">IFERROR(__xludf.dummyfunction("""COMPUTED_VALUE"""),0.375)</f>
        <v>0.375</v>
      </c>
      <c r="H65" s="11" t="n">
        <f aca="false">IFERROR(__xludf.dummyfunction("""COMPUTED_VALUE"""),0.541666666666666)</f>
        <v>0.541666666666666</v>
      </c>
      <c r="I65" s="12" t="str">
        <f aca="false">IFERROR(__xludf.dummyfunction("""COMPUTED_VALUE"""),"AULA JS-004-")</f>
        <v>AULA JS-004-</v>
      </c>
      <c r="J65" s="12" t="str">
        <f aca="false">IFERROR(__xludf.dummyfunction("""COMPUTED_VALUE"""),"JUSTICIA SOCIAL")</f>
        <v>JUSTICIA SOCIAL</v>
      </c>
      <c r="K65" s="13" t="s">
        <v>15</v>
      </c>
      <c r="L65" s="14" t="n">
        <v>2</v>
      </c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 customFormat="false" ht="15.75" hidden="false" customHeight="true" outlineLevel="0" collapsed="false">
      <c r="A66" s="5" t="s">
        <v>39</v>
      </c>
      <c r="B66" s="6" t="n">
        <v>43573680</v>
      </c>
      <c r="C66" s="17" t="s">
        <v>17</v>
      </c>
      <c r="D66" s="16" t="s">
        <v>14</v>
      </c>
      <c r="E66" s="12" t="str">
        <f aca="false">IFERROR(__xludf.dummyfunction("""COMPUTED_VALUE"""),"Mannocchi Valentina")</f>
        <v>Mannocchi Valentina</v>
      </c>
      <c r="F66" s="10" t="str">
        <f aca="false">IFERROR(__xludf.dummyfunction("""COMPUTED_VALUE"""),"Jueves")</f>
        <v>Jueves</v>
      </c>
      <c r="G66" s="11" t="n">
        <f aca="false">IFERROR(__xludf.dummyfunction("""COMPUTED_VALUE"""),0.333333333333333)</f>
        <v>0.333333333333333</v>
      </c>
      <c r="H66" s="11" t="n">
        <f aca="false">IFERROR(__xludf.dummyfunction("""COMPUTED_VALUE"""),0.5)</f>
        <v>0.5</v>
      </c>
      <c r="I66" s="12" t="str">
        <f aca="false">IFERROR(__xludf.dummyfunction("""COMPUTED_VALUE"""),"AULA JS-004-")</f>
        <v>AULA JS-004-</v>
      </c>
      <c r="J66" s="12" t="str">
        <f aca="false">IFERROR(__xludf.dummyfunction("""COMPUTED_VALUE"""),"JUSTICIA SOCIAL")</f>
        <v>JUSTICIA SOCIAL</v>
      </c>
      <c r="K66" s="13" t="s">
        <v>15</v>
      </c>
      <c r="L66" s="14" t="n">
        <v>2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 customFormat="false" ht="15.75" hidden="false" customHeight="true" outlineLevel="0" collapsed="false">
      <c r="A67" s="5" t="s">
        <v>40</v>
      </c>
      <c r="B67" s="6" t="n">
        <v>47999713</v>
      </c>
      <c r="C67" s="7" t="s">
        <v>13</v>
      </c>
      <c r="D67" s="16" t="s">
        <v>14</v>
      </c>
      <c r="E67" s="12" t="str">
        <f aca="false">IFERROR(__xludf.dummyfunction("""COMPUTED_VALUE"""),"Mejuto Ivana")</f>
        <v>Mejuto Ivana</v>
      </c>
      <c r="F67" s="10" t="str">
        <f aca="false">IFERROR(__xludf.dummyfunction("""COMPUTED_VALUE"""),"Martes")</f>
        <v>Martes</v>
      </c>
      <c r="G67" s="11" t="n">
        <f aca="false">IFERROR(__xludf.dummyfunction("""COMPUTED_VALUE"""),0.333333333333333)</f>
        <v>0.333333333333333</v>
      </c>
      <c r="H67" s="11" t="n">
        <f aca="false">IFERROR(__xludf.dummyfunction("""COMPUTED_VALUE"""),0.5)</f>
        <v>0.5</v>
      </c>
      <c r="I67" s="12" t="str">
        <f aca="false">IFERROR(__xludf.dummyfunction("""COMPUTED_VALUE"""),"AULA JS-004-")</f>
        <v>AULA JS-004-</v>
      </c>
      <c r="J67" s="12" t="str">
        <f aca="false">IFERROR(__xludf.dummyfunction("""COMPUTED_VALUE"""),"JUSTICIA SOCIAL")</f>
        <v>JUSTICIA SOCIAL</v>
      </c>
      <c r="K67" s="13" t="s">
        <v>15</v>
      </c>
      <c r="L67" s="14" t="n">
        <v>2</v>
      </c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 customFormat="false" ht="15.75" hidden="false" customHeight="true" outlineLevel="0" collapsed="false">
      <c r="A68" s="18" t="s">
        <v>41</v>
      </c>
      <c r="B68" s="6" t="n">
        <v>38681086</v>
      </c>
      <c r="C68" s="7" t="s">
        <v>16</v>
      </c>
      <c r="D68" s="16" t="s">
        <v>14</v>
      </c>
      <c r="E68" s="12" t="str">
        <f aca="false">IFERROR(__xludf.dummyfunction("""COMPUTED_VALUE"""),"Ibañez Adela")</f>
        <v>Ibañez Adela</v>
      </c>
      <c r="F68" s="10" t="str">
        <f aca="false">IFERROR(__xludf.dummyfunction("""COMPUTED_VALUE"""),"Sábado")</f>
        <v>Sábado</v>
      </c>
      <c r="G68" s="11" t="n">
        <f aca="false">IFERROR(__xludf.dummyfunction("""COMPUTED_VALUE"""),0.375)</f>
        <v>0.375</v>
      </c>
      <c r="H68" s="11" t="n">
        <f aca="false">IFERROR(__xludf.dummyfunction("""COMPUTED_VALUE"""),0.541666666666666)</f>
        <v>0.541666666666666</v>
      </c>
      <c r="I68" s="12" t="str">
        <f aca="false">IFERROR(__xludf.dummyfunction("""COMPUTED_VALUE"""),"AULA JS-004-")</f>
        <v>AULA JS-004-</v>
      </c>
      <c r="J68" s="12" t="str">
        <f aca="false">IFERROR(__xludf.dummyfunction("""COMPUTED_VALUE"""),"JUSTICIA SOCIAL")</f>
        <v>JUSTICIA SOCIAL</v>
      </c>
      <c r="K68" s="13" t="s">
        <v>15</v>
      </c>
      <c r="L68" s="14" t="n">
        <v>3</v>
      </c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 customFormat="false" ht="15.75" hidden="false" customHeight="true" outlineLevel="0" collapsed="false">
      <c r="A69" s="18" t="s">
        <v>41</v>
      </c>
      <c r="B69" s="6" t="n">
        <v>38681086</v>
      </c>
      <c r="C69" s="17" t="s">
        <v>17</v>
      </c>
      <c r="D69" s="16" t="s">
        <v>14</v>
      </c>
      <c r="E69" s="12" t="str">
        <f aca="false">IFERROR(__xludf.dummyfunction("""COMPUTED_VALUE"""),"Mannocchi Valentina")</f>
        <v>Mannocchi Valentina</v>
      </c>
      <c r="F69" s="10" t="str">
        <f aca="false">IFERROR(__xludf.dummyfunction("""COMPUTED_VALUE"""),"Jueves")</f>
        <v>Jueves</v>
      </c>
      <c r="G69" s="11" t="n">
        <f aca="false">IFERROR(__xludf.dummyfunction("""COMPUTED_VALUE"""),0.333333333333333)</f>
        <v>0.333333333333333</v>
      </c>
      <c r="H69" s="11" t="n">
        <f aca="false">IFERROR(__xludf.dummyfunction("""COMPUTED_VALUE"""),0.5)</f>
        <v>0.5</v>
      </c>
      <c r="I69" s="12" t="str">
        <f aca="false">IFERROR(__xludf.dummyfunction("""COMPUTED_VALUE"""),"AULA JS-004-")</f>
        <v>AULA JS-004-</v>
      </c>
      <c r="J69" s="12" t="str">
        <f aca="false">IFERROR(__xludf.dummyfunction("""COMPUTED_VALUE"""),"JUSTICIA SOCIAL")</f>
        <v>JUSTICIA SOCIAL</v>
      </c>
      <c r="K69" s="13" t="s">
        <v>15</v>
      </c>
      <c r="L69" s="14" t="n">
        <v>3</v>
      </c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 customFormat="false" ht="15.75" hidden="false" customHeight="true" outlineLevel="0" collapsed="false">
      <c r="A70" s="18" t="s">
        <v>41</v>
      </c>
      <c r="B70" s="6" t="n">
        <v>38681086</v>
      </c>
      <c r="C70" s="7" t="s">
        <v>13</v>
      </c>
      <c r="D70" s="16" t="s">
        <v>14</v>
      </c>
      <c r="E70" s="12" t="str">
        <f aca="false">IFERROR(__xludf.dummyfunction("""COMPUTED_VALUE"""),"Mejuto Ivana")</f>
        <v>Mejuto Ivana</v>
      </c>
      <c r="F70" s="10" t="str">
        <f aca="false">IFERROR(__xludf.dummyfunction("""COMPUTED_VALUE"""),"Martes")</f>
        <v>Martes</v>
      </c>
      <c r="G70" s="11" t="n">
        <f aca="false">IFERROR(__xludf.dummyfunction("""COMPUTED_VALUE"""),0.333333333333333)</f>
        <v>0.333333333333333</v>
      </c>
      <c r="H70" s="11" t="n">
        <f aca="false">IFERROR(__xludf.dummyfunction("""COMPUTED_VALUE"""),0.5)</f>
        <v>0.5</v>
      </c>
      <c r="I70" s="12" t="str">
        <f aca="false">IFERROR(__xludf.dummyfunction("""COMPUTED_VALUE"""),"AULA JS-004-")</f>
        <v>AULA JS-004-</v>
      </c>
      <c r="J70" s="12" t="str">
        <f aca="false">IFERROR(__xludf.dummyfunction("""COMPUTED_VALUE"""),"JUSTICIA SOCIAL")</f>
        <v>JUSTICIA SOCIAL</v>
      </c>
      <c r="K70" s="13" t="s">
        <v>15</v>
      </c>
      <c r="L70" s="14" t="n">
        <v>3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 customFormat="false" ht="15.75" hidden="false" customHeight="true" outlineLevel="0" collapsed="false">
      <c r="A71" s="5" t="s">
        <v>42</v>
      </c>
      <c r="B71" s="6" t="n">
        <v>39256358</v>
      </c>
      <c r="C71" s="7" t="s">
        <v>16</v>
      </c>
      <c r="D71" s="16" t="s">
        <v>14</v>
      </c>
      <c r="E71" s="12" t="str">
        <f aca="false">IFERROR(__xludf.dummyfunction("""COMPUTED_VALUE"""),"Ibañez Adela")</f>
        <v>Ibañez Adela</v>
      </c>
      <c r="F71" s="10" t="str">
        <f aca="false">IFERROR(__xludf.dummyfunction("""COMPUTED_VALUE"""),"Sábado")</f>
        <v>Sábado</v>
      </c>
      <c r="G71" s="11" t="n">
        <f aca="false">IFERROR(__xludf.dummyfunction("""COMPUTED_VALUE"""),0.375)</f>
        <v>0.375</v>
      </c>
      <c r="H71" s="11" t="n">
        <f aca="false">IFERROR(__xludf.dummyfunction("""COMPUTED_VALUE"""),0.541666666666666)</f>
        <v>0.541666666666666</v>
      </c>
      <c r="I71" s="12" t="str">
        <f aca="false">IFERROR(__xludf.dummyfunction("""COMPUTED_VALUE"""),"AULA JS-004-")</f>
        <v>AULA JS-004-</v>
      </c>
      <c r="J71" s="12" t="str">
        <f aca="false">IFERROR(__xludf.dummyfunction("""COMPUTED_VALUE"""),"JUSTICIA SOCIAL")</f>
        <v>JUSTICIA SOCIAL</v>
      </c>
      <c r="K71" s="13" t="s">
        <v>15</v>
      </c>
      <c r="L71" s="14" t="n">
        <v>2</v>
      </c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 customFormat="false" ht="15.75" hidden="false" customHeight="true" outlineLevel="0" collapsed="false">
      <c r="A72" s="5" t="s">
        <v>42</v>
      </c>
      <c r="B72" s="6" t="n">
        <v>39256358</v>
      </c>
      <c r="C72" s="17" t="s">
        <v>17</v>
      </c>
      <c r="D72" s="16" t="s">
        <v>14</v>
      </c>
      <c r="E72" s="12" t="str">
        <f aca="false">IFERROR(__xludf.dummyfunction("""COMPUTED_VALUE"""),"Mannocchi Valentina")</f>
        <v>Mannocchi Valentina</v>
      </c>
      <c r="F72" s="10" t="str">
        <f aca="false">IFERROR(__xludf.dummyfunction("""COMPUTED_VALUE"""),"Jueves")</f>
        <v>Jueves</v>
      </c>
      <c r="G72" s="11" t="n">
        <f aca="false">IFERROR(__xludf.dummyfunction("""COMPUTED_VALUE"""),0.333333333333333)</f>
        <v>0.333333333333333</v>
      </c>
      <c r="H72" s="11" t="n">
        <f aca="false">IFERROR(__xludf.dummyfunction("""COMPUTED_VALUE"""),0.5)</f>
        <v>0.5</v>
      </c>
      <c r="I72" s="12" t="str">
        <f aca="false">IFERROR(__xludf.dummyfunction("""COMPUTED_VALUE"""),"AULA JS-004-")</f>
        <v>AULA JS-004-</v>
      </c>
      <c r="J72" s="12" t="str">
        <f aca="false">IFERROR(__xludf.dummyfunction("""COMPUTED_VALUE"""),"JUSTICIA SOCIAL")</f>
        <v>JUSTICIA SOCIAL</v>
      </c>
      <c r="K72" s="13" t="s">
        <v>15</v>
      </c>
      <c r="L72" s="14" t="n">
        <v>2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</row>
    <row r="73" customFormat="false" ht="15.75" hidden="false" customHeight="true" outlineLevel="0" collapsed="false">
      <c r="A73" s="5" t="s">
        <v>42</v>
      </c>
      <c r="B73" s="6" t="n">
        <v>39256358</v>
      </c>
      <c r="C73" s="7" t="s">
        <v>13</v>
      </c>
      <c r="D73" s="16" t="s">
        <v>14</v>
      </c>
      <c r="E73" s="12" t="str">
        <f aca="false">IFERROR(__xludf.dummyfunction("""COMPUTED_VALUE"""),"Mejuto Ivana")</f>
        <v>Mejuto Ivana</v>
      </c>
      <c r="F73" s="10" t="str">
        <f aca="false">IFERROR(__xludf.dummyfunction("""COMPUTED_VALUE"""),"Martes")</f>
        <v>Martes</v>
      </c>
      <c r="G73" s="11" t="n">
        <f aca="false">IFERROR(__xludf.dummyfunction("""COMPUTED_VALUE"""),0.333333333333333)</f>
        <v>0.333333333333333</v>
      </c>
      <c r="H73" s="11" t="n">
        <f aca="false">IFERROR(__xludf.dummyfunction("""COMPUTED_VALUE"""),0.5)</f>
        <v>0.5</v>
      </c>
      <c r="I73" s="12" t="str">
        <f aca="false">IFERROR(__xludf.dummyfunction("""COMPUTED_VALUE"""),"AULA JS-004-")</f>
        <v>AULA JS-004-</v>
      </c>
      <c r="J73" s="12" t="str">
        <f aca="false">IFERROR(__xludf.dummyfunction("""COMPUTED_VALUE"""),"JUSTICIA SOCIAL")</f>
        <v>JUSTICIA SOCIAL</v>
      </c>
      <c r="K73" s="13" t="s">
        <v>15</v>
      </c>
      <c r="L73" s="14" t="n">
        <v>2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 customFormat="false" ht="15.75" hidden="false" customHeight="true" outlineLevel="0" collapsed="false">
      <c r="A74" s="5" t="s">
        <v>43</v>
      </c>
      <c r="B74" s="6" t="n">
        <v>48281341</v>
      </c>
      <c r="C74" s="7" t="s">
        <v>16</v>
      </c>
      <c r="D74" s="16" t="s">
        <v>14</v>
      </c>
      <c r="E74" s="12" t="str">
        <f aca="false">IFERROR(__xludf.dummyfunction("""COMPUTED_VALUE"""),"Ibañez Adela")</f>
        <v>Ibañez Adela</v>
      </c>
      <c r="F74" s="10" t="str">
        <f aca="false">IFERROR(__xludf.dummyfunction("""COMPUTED_VALUE"""),"Sábado")</f>
        <v>Sábado</v>
      </c>
      <c r="G74" s="11" t="n">
        <f aca="false">IFERROR(__xludf.dummyfunction("""COMPUTED_VALUE"""),0.375)</f>
        <v>0.375</v>
      </c>
      <c r="H74" s="11" t="n">
        <f aca="false">IFERROR(__xludf.dummyfunction("""COMPUTED_VALUE"""),0.541666666666666)</f>
        <v>0.541666666666666</v>
      </c>
      <c r="I74" s="12" t="str">
        <f aca="false">IFERROR(__xludf.dummyfunction("""COMPUTED_VALUE"""),"AULA JS-004-")</f>
        <v>AULA JS-004-</v>
      </c>
      <c r="J74" s="12" t="str">
        <f aca="false">IFERROR(__xludf.dummyfunction("""COMPUTED_VALUE"""),"JUSTICIA SOCIAL")</f>
        <v>JUSTICIA SOCIAL</v>
      </c>
      <c r="K74" s="13" t="s">
        <v>15</v>
      </c>
      <c r="L74" s="14" t="n">
        <v>1</v>
      </c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</row>
    <row r="75" customFormat="false" ht="15.75" hidden="false" customHeight="true" outlineLevel="0" collapsed="false">
      <c r="A75" s="5" t="s">
        <v>43</v>
      </c>
      <c r="B75" s="6" t="n">
        <v>48281341</v>
      </c>
      <c r="C75" s="17" t="s">
        <v>17</v>
      </c>
      <c r="D75" s="16" t="s">
        <v>14</v>
      </c>
      <c r="E75" s="12" t="str">
        <f aca="false">IFERROR(__xludf.dummyfunction("""COMPUTED_VALUE"""),"Mannocchi Valentina")</f>
        <v>Mannocchi Valentina</v>
      </c>
      <c r="F75" s="10" t="str">
        <f aca="false">IFERROR(__xludf.dummyfunction("""COMPUTED_VALUE"""),"Jueves")</f>
        <v>Jueves</v>
      </c>
      <c r="G75" s="11" t="n">
        <f aca="false">IFERROR(__xludf.dummyfunction("""COMPUTED_VALUE"""),0.333333333333333)</f>
        <v>0.333333333333333</v>
      </c>
      <c r="H75" s="11" t="n">
        <f aca="false">IFERROR(__xludf.dummyfunction("""COMPUTED_VALUE"""),0.5)</f>
        <v>0.5</v>
      </c>
      <c r="I75" s="12" t="str">
        <f aca="false">IFERROR(__xludf.dummyfunction("""COMPUTED_VALUE"""),"AULA JS-004-")</f>
        <v>AULA JS-004-</v>
      </c>
      <c r="J75" s="12" t="str">
        <f aca="false">IFERROR(__xludf.dummyfunction("""COMPUTED_VALUE"""),"JUSTICIA SOCIAL")</f>
        <v>JUSTICIA SOCIAL</v>
      </c>
      <c r="K75" s="13" t="s">
        <v>15</v>
      </c>
      <c r="L75" s="14" t="n">
        <v>1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</row>
    <row r="76" customFormat="false" ht="15.75" hidden="false" customHeight="true" outlineLevel="0" collapsed="false">
      <c r="A76" s="5" t="s">
        <v>43</v>
      </c>
      <c r="B76" s="6" t="n">
        <v>48281341</v>
      </c>
      <c r="C76" s="7" t="s">
        <v>13</v>
      </c>
      <c r="D76" s="16" t="s">
        <v>14</v>
      </c>
      <c r="E76" s="12" t="str">
        <f aca="false">IFERROR(__xludf.dummyfunction("""COMPUTED_VALUE"""),"Mejuto Ivana")</f>
        <v>Mejuto Ivana</v>
      </c>
      <c r="F76" s="10" t="str">
        <f aca="false">IFERROR(__xludf.dummyfunction("""COMPUTED_VALUE"""),"Martes")</f>
        <v>Martes</v>
      </c>
      <c r="G76" s="11" t="n">
        <f aca="false">IFERROR(__xludf.dummyfunction("""COMPUTED_VALUE"""),0.333333333333333)</f>
        <v>0.333333333333333</v>
      </c>
      <c r="H76" s="11" t="n">
        <f aca="false">IFERROR(__xludf.dummyfunction("""COMPUTED_VALUE"""),0.5)</f>
        <v>0.5</v>
      </c>
      <c r="I76" s="12" t="str">
        <f aca="false">IFERROR(__xludf.dummyfunction("""COMPUTED_VALUE"""),"AULA JS-004-")</f>
        <v>AULA JS-004-</v>
      </c>
      <c r="J76" s="12" t="str">
        <f aca="false">IFERROR(__xludf.dummyfunction("""COMPUTED_VALUE"""),"JUSTICIA SOCIAL")</f>
        <v>JUSTICIA SOCIAL</v>
      </c>
      <c r="K76" s="13" t="s">
        <v>15</v>
      </c>
      <c r="L76" s="14" t="n">
        <v>1</v>
      </c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 customFormat="false" ht="15.75" hidden="false" customHeight="true" outlineLevel="0" collapsed="false">
      <c r="A77" s="5" t="s">
        <v>44</v>
      </c>
      <c r="B77" s="6" t="n">
        <v>26898105</v>
      </c>
      <c r="C77" s="7" t="s">
        <v>16</v>
      </c>
      <c r="D77" s="16" t="s">
        <v>14</v>
      </c>
      <c r="E77" s="12" t="str">
        <f aca="false">IFERROR(__xludf.dummyfunction("""COMPUTED_VALUE"""),"Ibañez Adela")</f>
        <v>Ibañez Adela</v>
      </c>
      <c r="F77" s="10" t="str">
        <f aca="false">IFERROR(__xludf.dummyfunction("""COMPUTED_VALUE"""),"Sábado")</f>
        <v>Sábado</v>
      </c>
      <c r="G77" s="11" t="n">
        <f aca="false">IFERROR(__xludf.dummyfunction("""COMPUTED_VALUE"""),0.375)</f>
        <v>0.375</v>
      </c>
      <c r="H77" s="11" t="n">
        <f aca="false">IFERROR(__xludf.dummyfunction("""COMPUTED_VALUE"""),0.541666666666666)</f>
        <v>0.541666666666666</v>
      </c>
      <c r="I77" s="12" t="str">
        <f aca="false">IFERROR(__xludf.dummyfunction("""COMPUTED_VALUE"""),"AULA JS-004-")</f>
        <v>AULA JS-004-</v>
      </c>
      <c r="J77" s="12" t="str">
        <f aca="false">IFERROR(__xludf.dummyfunction("""COMPUTED_VALUE"""),"JUSTICIA SOCIAL")</f>
        <v>JUSTICIA SOCIAL</v>
      </c>
      <c r="K77" s="13" t="s">
        <v>15</v>
      </c>
      <c r="L77" s="14" t="n">
        <v>1</v>
      </c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 customFormat="false" ht="15.75" hidden="false" customHeight="true" outlineLevel="0" collapsed="false">
      <c r="A78" s="5" t="s">
        <v>44</v>
      </c>
      <c r="B78" s="6" t="n">
        <v>26898105</v>
      </c>
      <c r="C78" s="17" t="s">
        <v>17</v>
      </c>
      <c r="D78" s="16" t="s">
        <v>14</v>
      </c>
      <c r="E78" s="12" t="str">
        <f aca="false">IFERROR(__xludf.dummyfunction("""COMPUTED_VALUE"""),"Mannocchi Valentina")</f>
        <v>Mannocchi Valentina</v>
      </c>
      <c r="F78" s="10" t="str">
        <f aca="false">IFERROR(__xludf.dummyfunction("""COMPUTED_VALUE"""),"Jueves")</f>
        <v>Jueves</v>
      </c>
      <c r="G78" s="11" t="n">
        <f aca="false">IFERROR(__xludf.dummyfunction("""COMPUTED_VALUE"""),0.333333333333333)</f>
        <v>0.333333333333333</v>
      </c>
      <c r="H78" s="11" t="n">
        <f aca="false">IFERROR(__xludf.dummyfunction("""COMPUTED_VALUE"""),0.5)</f>
        <v>0.5</v>
      </c>
      <c r="I78" s="12" t="str">
        <f aca="false">IFERROR(__xludf.dummyfunction("""COMPUTED_VALUE"""),"AULA JS-004-")</f>
        <v>AULA JS-004-</v>
      </c>
      <c r="J78" s="12" t="str">
        <f aca="false">IFERROR(__xludf.dummyfunction("""COMPUTED_VALUE"""),"JUSTICIA SOCIAL")</f>
        <v>JUSTICIA SOCIAL</v>
      </c>
      <c r="K78" s="13" t="s">
        <v>15</v>
      </c>
      <c r="L78" s="14" t="n">
        <v>1</v>
      </c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 customFormat="false" ht="15.75" hidden="false" customHeight="true" outlineLevel="0" collapsed="false">
      <c r="A79" s="5" t="s">
        <v>44</v>
      </c>
      <c r="B79" s="6" t="n">
        <v>26898105</v>
      </c>
      <c r="C79" s="7" t="s">
        <v>13</v>
      </c>
      <c r="D79" s="16" t="s">
        <v>14</v>
      </c>
      <c r="E79" s="12" t="str">
        <f aca="false">IFERROR(__xludf.dummyfunction("""COMPUTED_VALUE"""),"Mejuto Ivana")</f>
        <v>Mejuto Ivana</v>
      </c>
      <c r="F79" s="10" t="str">
        <f aca="false">IFERROR(__xludf.dummyfunction("""COMPUTED_VALUE"""),"Martes")</f>
        <v>Martes</v>
      </c>
      <c r="G79" s="11" t="n">
        <f aca="false">IFERROR(__xludf.dummyfunction("""COMPUTED_VALUE"""),0.333333333333333)</f>
        <v>0.333333333333333</v>
      </c>
      <c r="H79" s="11" t="n">
        <f aca="false">IFERROR(__xludf.dummyfunction("""COMPUTED_VALUE"""),0.5)</f>
        <v>0.5</v>
      </c>
      <c r="I79" s="12" t="str">
        <f aca="false">IFERROR(__xludf.dummyfunction("""COMPUTED_VALUE"""),"AULA JS-004-")</f>
        <v>AULA JS-004-</v>
      </c>
      <c r="J79" s="12" t="str">
        <f aca="false">IFERROR(__xludf.dummyfunction("""COMPUTED_VALUE"""),"JUSTICIA SOCIAL")</f>
        <v>JUSTICIA SOCIAL</v>
      </c>
      <c r="K79" s="13" t="s">
        <v>15</v>
      </c>
      <c r="L79" s="14" t="n">
        <v>1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 customFormat="false" ht="15.75" hidden="false" customHeight="true" outlineLevel="0" collapsed="false">
      <c r="A80" s="5" t="s">
        <v>45</v>
      </c>
      <c r="B80" s="6" t="n">
        <v>46919539</v>
      </c>
      <c r="C80" s="7" t="s">
        <v>16</v>
      </c>
      <c r="D80" s="16" t="s">
        <v>14</v>
      </c>
      <c r="E80" s="12" t="str">
        <f aca="false">IFERROR(__xludf.dummyfunction("""COMPUTED_VALUE"""),"Ibañez Adela")</f>
        <v>Ibañez Adela</v>
      </c>
      <c r="F80" s="10" t="str">
        <f aca="false">IFERROR(__xludf.dummyfunction("""COMPUTED_VALUE"""),"Sábado")</f>
        <v>Sábado</v>
      </c>
      <c r="G80" s="11" t="n">
        <f aca="false">IFERROR(__xludf.dummyfunction("""COMPUTED_VALUE"""),0.375)</f>
        <v>0.375</v>
      </c>
      <c r="H80" s="11" t="n">
        <f aca="false">IFERROR(__xludf.dummyfunction("""COMPUTED_VALUE"""),0.541666666666666)</f>
        <v>0.541666666666666</v>
      </c>
      <c r="I80" s="12" t="str">
        <f aca="false">IFERROR(__xludf.dummyfunction("""COMPUTED_VALUE"""),"AULA JS-004-")</f>
        <v>AULA JS-004-</v>
      </c>
      <c r="J80" s="12" t="str">
        <f aca="false">IFERROR(__xludf.dummyfunction("""COMPUTED_VALUE"""),"JUSTICIA SOCIAL")</f>
        <v>JUSTICIA SOCIAL</v>
      </c>
      <c r="K80" s="13" t="s">
        <v>15</v>
      </c>
      <c r="L80" s="14" t="n">
        <v>6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</row>
    <row r="81" customFormat="false" ht="15.75" hidden="false" customHeight="true" outlineLevel="0" collapsed="false">
      <c r="A81" s="5" t="s">
        <v>45</v>
      </c>
      <c r="B81" s="6" t="n">
        <v>46919539</v>
      </c>
      <c r="C81" s="17" t="s">
        <v>17</v>
      </c>
      <c r="D81" s="16" t="s">
        <v>14</v>
      </c>
      <c r="E81" s="12" t="str">
        <f aca="false">IFERROR(__xludf.dummyfunction("""COMPUTED_VALUE"""),"Mannocchi Valentina")</f>
        <v>Mannocchi Valentina</v>
      </c>
      <c r="F81" s="10" t="str">
        <f aca="false">IFERROR(__xludf.dummyfunction("""COMPUTED_VALUE"""),"Jueves")</f>
        <v>Jueves</v>
      </c>
      <c r="G81" s="11" t="n">
        <f aca="false">IFERROR(__xludf.dummyfunction("""COMPUTED_VALUE"""),0.333333333333333)</f>
        <v>0.333333333333333</v>
      </c>
      <c r="H81" s="11" t="n">
        <f aca="false">IFERROR(__xludf.dummyfunction("""COMPUTED_VALUE"""),0.5)</f>
        <v>0.5</v>
      </c>
      <c r="I81" s="12" t="str">
        <f aca="false">IFERROR(__xludf.dummyfunction("""COMPUTED_VALUE"""),"AULA JS-004-")</f>
        <v>AULA JS-004-</v>
      </c>
      <c r="J81" s="12" t="str">
        <f aca="false">IFERROR(__xludf.dummyfunction("""COMPUTED_VALUE"""),"JUSTICIA SOCIAL")</f>
        <v>JUSTICIA SOCIAL</v>
      </c>
      <c r="K81" s="13" t="s">
        <v>15</v>
      </c>
      <c r="L81" s="14" t="n">
        <v>6</v>
      </c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</row>
    <row r="82" customFormat="false" ht="15.75" hidden="false" customHeight="true" outlineLevel="0" collapsed="false">
      <c r="A82" s="5" t="s">
        <v>45</v>
      </c>
      <c r="B82" s="6" t="n">
        <v>46919539</v>
      </c>
      <c r="C82" s="7" t="s">
        <v>13</v>
      </c>
      <c r="D82" s="16" t="s">
        <v>14</v>
      </c>
      <c r="E82" s="12" t="str">
        <f aca="false">IFERROR(__xludf.dummyfunction("""COMPUTED_VALUE"""),"Mejuto Ivana")</f>
        <v>Mejuto Ivana</v>
      </c>
      <c r="F82" s="10" t="str">
        <f aca="false">IFERROR(__xludf.dummyfunction("""COMPUTED_VALUE"""),"Martes")</f>
        <v>Martes</v>
      </c>
      <c r="G82" s="11" t="n">
        <f aca="false">IFERROR(__xludf.dummyfunction("""COMPUTED_VALUE"""),0.333333333333333)</f>
        <v>0.333333333333333</v>
      </c>
      <c r="H82" s="11" t="n">
        <f aca="false">IFERROR(__xludf.dummyfunction("""COMPUTED_VALUE"""),0.5)</f>
        <v>0.5</v>
      </c>
      <c r="I82" s="12" t="str">
        <f aca="false">IFERROR(__xludf.dummyfunction("""COMPUTED_VALUE"""),"AULA JS-004-")</f>
        <v>AULA JS-004-</v>
      </c>
      <c r="J82" s="12" t="str">
        <f aca="false">IFERROR(__xludf.dummyfunction("""COMPUTED_VALUE"""),"JUSTICIA SOCIAL")</f>
        <v>JUSTICIA SOCIAL</v>
      </c>
      <c r="K82" s="13" t="s">
        <v>15</v>
      </c>
      <c r="L82" s="14" t="n">
        <v>6</v>
      </c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 customFormat="false" ht="15.75" hidden="false" customHeight="true" outlineLevel="0" collapsed="false">
      <c r="A83" s="5" t="s">
        <v>46</v>
      </c>
      <c r="B83" s="6" t="n">
        <v>44144000</v>
      </c>
      <c r="C83" s="7" t="s">
        <v>16</v>
      </c>
      <c r="D83" s="16" t="s">
        <v>14</v>
      </c>
      <c r="E83" s="12" t="str">
        <f aca="false">IFERROR(__xludf.dummyfunction("""COMPUTED_VALUE"""),"Ibañez Adela")</f>
        <v>Ibañez Adela</v>
      </c>
      <c r="F83" s="10" t="str">
        <f aca="false">IFERROR(__xludf.dummyfunction("""COMPUTED_VALUE"""),"Sábado")</f>
        <v>Sábado</v>
      </c>
      <c r="G83" s="11" t="n">
        <f aca="false">IFERROR(__xludf.dummyfunction("""COMPUTED_VALUE"""),0.375)</f>
        <v>0.375</v>
      </c>
      <c r="H83" s="11" t="n">
        <f aca="false">IFERROR(__xludf.dummyfunction("""COMPUTED_VALUE"""),0.541666666666666)</f>
        <v>0.541666666666666</v>
      </c>
      <c r="I83" s="12" t="str">
        <f aca="false">IFERROR(__xludf.dummyfunction("""COMPUTED_VALUE"""),"AULA JS-004-")</f>
        <v>AULA JS-004-</v>
      </c>
      <c r="J83" s="12" t="str">
        <f aca="false">IFERROR(__xludf.dummyfunction("""COMPUTED_VALUE"""),"JUSTICIA SOCIAL")</f>
        <v>JUSTICIA SOCIAL</v>
      </c>
      <c r="K83" s="13" t="s">
        <v>15</v>
      </c>
      <c r="L83" s="14" t="n">
        <v>2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 customFormat="false" ht="15.75" hidden="false" customHeight="true" outlineLevel="0" collapsed="false">
      <c r="A84" s="5" t="s">
        <v>46</v>
      </c>
      <c r="B84" s="6" t="n">
        <v>44144000</v>
      </c>
      <c r="C84" s="17" t="s">
        <v>17</v>
      </c>
      <c r="D84" s="16" t="s">
        <v>14</v>
      </c>
      <c r="E84" s="12" t="str">
        <f aca="false">IFERROR(__xludf.dummyfunction("""COMPUTED_VALUE"""),"Mannocchi Valentina")</f>
        <v>Mannocchi Valentina</v>
      </c>
      <c r="F84" s="10" t="str">
        <f aca="false">IFERROR(__xludf.dummyfunction("""COMPUTED_VALUE"""),"Jueves")</f>
        <v>Jueves</v>
      </c>
      <c r="G84" s="11" t="n">
        <f aca="false">IFERROR(__xludf.dummyfunction("""COMPUTED_VALUE"""),0.333333333333333)</f>
        <v>0.333333333333333</v>
      </c>
      <c r="H84" s="11" t="n">
        <f aca="false">IFERROR(__xludf.dummyfunction("""COMPUTED_VALUE"""),0.5)</f>
        <v>0.5</v>
      </c>
      <c r="I84" s="12" t="str">
        <f aca="false">IFERROR(__xludf.dummyfunction("""COMPUTED_VALUE"""),"AULA JS-004-")</f>
        <v>AULA JS-004-</v>
      </c>
      <c r="J84" s="12" t="str">
        <f aca="false">IFERROR(__xludf.dummyfunction("""COMPUTED_VALUE"""),"JUSTICIA SOCIAL")</f>
        <v>JUSTICIA SOCIAL</v>
      </c>
      <c r="K84" s="13" t="s">
        <v>15</v>
      </c>
      <c r="L84" s="14" t="n">
        <v>2</v>
      </c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 customFormat="false" ht="15.75" hidden="false" customHeight="true" outlineLevel="0" collapsed="false">
      <c r="A85" s="5" t="s">
        <v>46</v>
      </c>
      <c r="B85" s="6" t="n">
        <v>44144000</v>
      </c>
      <c r="C85" s="7" t="s">
        <v>13</v>
      </c>
      <c r="D85" s="16" t="s">
        <v>14</v>
      </c>
      <c r="E85" s="12" t="str">
        <f aca="false">IFERROR(__xludf.dummyfunction("""COMPUTED_VALUE"""),"Mejuto Ivana")</f>
        <v>Mejuto Ivana</v>
      </c>
      <c r="F85" s="10" t="str">
        <f aca="false">IFERROR(__xludf.dummyfunction("""COMPUTED_VALUE"""),"Martes")</f>
        <v>Martes</v>
      </c>
      <c r="G85" s="11" t="n">
        <f aca="false">IFERROR(__xludf.dummyfunction("""COMPUTED_VALUE"""),0.333333333333333)</f>
        <v>0.333333333333333</v>
      </c>
      <c r="H85" s="11" t="n">
        <f aca="false">IFERROR(__xludf.dummyfunction("""COMPUTED_VALUE"""),0.5)</f>
        <v>0.5</v>
      </c>
      <c r="I85" s="12" t="str">
        <f aca="false">IFERROR(__xludf.dummyfunction("""COMPUTED_VALUE"""),"AULA JS-004-")</f>
        <v>AULA JS-004-</v>
      </c>
      <c r="J85" s="12" t="str">
        <f aca="false">IFERROR(__xludf.dummyfunction("""COMPUTED_VALUE"""),"JUSTICIA SOCIAL")</f>
        <v>JUSTICIA SOCIAL</v>
      </c>
      <c r="K85" s="13" t="s">
        <v>15</v>
      </c>
      <c r="L85" s="14" t="n">
        <v>2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 customFormat="false" ht="15.75" hidden="false" customHeight="true" outlineLevel="0" collapsed="false">
      <c r="A86" s="5" t="s">
        <v>47</v>
      </c>
      <c r="B86" s="6" t="n">
        <v>34688750</v>
      </c>
      <c r="C86" s="7" t="s">
        <v>16</v>
      </c>
      <c r="D86" s="16" t="s">
        <v>14</v>
      </c>
      <c r="E86" s="12" t="str">
        <f aca="false">IFERROR(__xludf.dummyfunction("""COMPUTED_VALUE"""),"Ibañez Adela")</f>
        <v>Ibañez Adela</v>
      </c>
      <c r="F86" s="10" t="str">
        <f aca="false">IFERROR(__xludf.dummyfunction("""COMPUTED_VALUE"""),"Sábado")</f>
        <v>Sábado</v>
      </c>
      <c r="G86" s="11" t="n">
        <f aca="false">IFERROR(__xludf.dummyfunction("""COMPUTED_VALUE"""),0.375)</f>
        <v>0.375</v>
      </c>
      <c r="H86" s="11" t="n">
        <f aca="false">IFERROR(__xludf.dummyfunction("""COMPUTED_VALUE"""),0.541666666666666)</f>
        <v>0.541666666666666</v>
      </c>
      <c r="I86" s="12" t="str">
        <f aca="false">IFERROR(__xludf.dummyfunction("""COMPUTED_VALUE"""),"AULA JS-004-")</f>
        <v>AULA JS-004-</v>
      </c>
      <c r="J86" s="12" t="str">
        <f aca="false">IFERROR(__xludf.dummyfunction("""COMPUTED_VALUE"""),"JUSTICIA SOCIAL")</f>
        <v>JUSTICIA SOCIAL</v>
      </c>
      <c r="K86" s="13" t="s">
        <v>15</v>
      </c>
      <c r="L86" s="14" t="n">
        <v>2</v>
      </c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 customFormat="false" ht="15.75" hidden="false" customHeight="true" outlineLevel="0" collapsed="false">
      <c r="A87" s="5" t="s">
        <v>47</v>
      </c>
      <c r="B87" s="6" t="n">
        <v>34688750</v>
      </c>
      <c r="C87" s="17" t="s">
        <v>17</v>
      </c>
      <c r="D87" s="16" t="s">
        <v>14</v>
      </c>
      <c r="E87" s="12" t="str">
        <f aca="false">IFERROR(__xludf.dummyfunction("""COMPUTED_VALUE"""),"Mannocchi Valentina")</f>
        <v>Mannocchi Valentina</v>
      </c>
      <c r="F87" s="10" t="str">
        <f aca="false">IFERROR(__xludf.dummyfunction("""COMPUTED_VALUE"""),"Jueves")</f>
        <v>Jueves</v>
      </c>
      <c r="G87" s="11" t="n">
        <f aca="false">IFERROR(__xludf.dummyfunction("""COMPUTED_VALUE"""),0.333333333333333)</f>
        <v>0.333333333333333</v>
      </c>
      <c r="H87" s="11" t="n">
        <f aca="false">IFERROR(__xludf.dummyfunction("""COMPUTED_VALUE"""),0.5)</f>
        <v>0.5</v>
      </c>
      <c r="I87" s="12" t="str">
        <f aca="false">IFERROR(__xludf.dummyfunction("""COMPUTED_VALUE"""),"AULA JS-004-")</f>
        <v>AULA JS-004-</v>
      </c>
      <c r="J87" s="12" t="str">
        <f aca="false">IFERROR(__xludf.dummyfunction("""COMPUTED_VALUE"""),"JUSTICIA SOCIAL")</f>
        <v>JUSTICIA SOCIAL</v>
      </c>
      <c r="K87" s="13" t="s">
        <v>15</v>
      </c>
      <c r="L87" s="14" t="n">
        <v>2</v>
      </c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</row>
    <row r="88" customFormat="false" ht="15.75" hidden="false" customHeight="true" outlineLevel="0" collapsed="false">
      <c r="A88" s="5" t="s">
        <v>47</v>
      </c>
      <c r="B88" s="6" t="n">
        <v>34688750</v>
      </c>
      <c r="C88" s="7" t="s">
        <v>13</v>
      </c>
      <c r="D88" s="16" t="s">
        <v>14</v>
      </c>
      <c r="E88" s="12" t="str">
        <f aca="false">IFERROR(__xludf.dummyfunction("""COMPUTED_VALUE"""),"Mejuto Ivana")</f>
        <v>Mejuto Ivana</v>
      </c>
      <c r="F88" s="10" t="str">
        <f aca="false">IFERROR(__xludf.dummyfunction("""COMPUTED_VALUE"""),"Martes")</f>
        <v>Martes</v>
      </c>
      <c r="G88" s="11" t="n">
        <f aca="false">IFERROR(__xludf.dummyfunction("""COMPUTED_VALUE"""),0.333333333333333)</f>
        <v>0.333333333333333</v>
      </c>
      <c r="H88" s="11" t="n">
        <f aca="false">IFERROR(__xludf.dummyfunction("""COMPUTED_VALUE"""),0.5)</f>
        <v>0.5</v>
      </c>
      <c r="I88" s="12" t="str">
        <f aca="false">IFERROR(__xludf.dummyfunction("""COMPUTED_VALUE"""),"AULA JS-004-")</f>
        <v>AULA JS-004-</v>
      </c>
      <c r="J88" s="12" t="str">
        <f aca="false">IFERROR(__xludf.dummyfunction("""COMPUTED_VALUE"""),"JUSTICIA SOCIAL")</f>
        <v>JUSTICIA SOCIAL</v>
      </c>
      <c r="K88" s="13" t="s">
        <v>15</v>
      </c>
      <c r="L88" s="14" t="n">
        <v>2</v>
      </c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</row>
    <row r="89" customFormat="false" ht="15.75" hidden="false" customHeight="true" outlineLevel="0" collapsed="false">
      <c r="A89" s="5" t="s">
        <v>48</v>
      </c>
      <c r="B89" s="6" t="n">
        <v>30045483</v>
      </c>
      <c r="C89" s="7" t="s">
        <v>16</v>
      </c>
      <c r="D89" s="16" t="s">
        <v>14</v>
      </c>
      <c r="E89" s="12" t="str">
        <f aca="false">IFERROR(__xludf.dummyfunction("""COMPUTED_VALUE"""),"Ibañez Adela")</f>
        <v>Ibañez Adela</v>
      </c>
      <c r="F89" s="10" t="str">
        <f aca="false">IFERROR(__xludf.dummyfunction("""COMPUTED_VALUE"""),"Sábado")</f>
        <v>Sábado</v>
      </c>
      <c r="G89" s="11" t="n">
        <f aca="false">IFERROR(__xludf.dummyfunction("""COMPUTED_VALUE"""),0.375)</f>
        <v>0.375</v>
      </c>
      <c r="H89" s="11" t="n">
        <f aca="false">IFERROR(__xludf.dummyfunction("""COMPUTED_VALUE"""),0.541666666666666)</f>
        <v>0.541666666666666</v>
      </c>
      <c r="I89" s="12" t="str">
        <f aca="false">IFERROR(__xludf.dummyfunction("""COMPUTED_VALUE"""),"AULA JS-004-")</f>
        <v>AULA JS-004-</v>
      </c>
      <c r="J89" s="12" t="str">
        <f aca="false">IFERROR(__xludf.dummyfunction("""COMPUTED_VALUE"""),"JUSTICIA SOCIAL")</f>
        <v>JUSTICIA SOCIAL</v>
      </c>
      <c r="K89" s="13" t="s">
        <v>15</v>
      </c>
      <c r="L89" s="14" t="n">
        <v>6</v>
      </c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 customFormat="false" ht="15.75" hidden="false" customHeight="true" outlineLevel="0" collapsed="false">
      <c r="A90" s="5" t="s">
        <v>48</v>
      </c>
      <c r="B90" s="6" t="n">
        <v>30045483</v>
      </c>
      <c r="C90" s="17" t="s">
        <v>17</v>
      </c>
      <c r="D90" s="16" t="s">
        <v>14</v>
      </c>
      <c r="E90" s="12" t="str">
        <f aca="false">IFERROR(__xludf.dummyfunction("""COMPUTED_VALUE"""),"Mannocchi Valentina")</f>
        <v>Mannocchi Valentina</v>
      </c>
      <c r="F90" s="10" t="str">
        <f aca="false">IFERROR(__xludf.dummyfunction("""COMPUTED_VALUE"""),"Jueves")</f>
        <v>Jueves</v>
      </c>
      <c r="G90" s="11" t="n">
        <f aca="false">IFERROR(__xludf.dummyfunction("""COMPUTED_VALUE"""),0.333333333333333)</f>
        <v>0.333333333333333</v>
      </c>
      <c r="H90" s="11" t="n">
        <f aca="false">IFERROR(__xludf.dummyfunction("""COMPUTED_VALUE"""),0.5)</f>
        <v>0.5</v>
      </c>
      <c r="I90" s="12" t="str">
        <f aca="false">IFERROR(__xludf.dummyfunction("""COMPUTED_VALUE"""),"AULA JS-004-")</f>
        <v>AULA JS-004-</v>
      </c>
      <c r="J90" s="12" t="str">
        <f aca="false">IFERROR(__xludf.dummyfunction("""COMPUTED_VALUE"""),"JUSTICIA SOCIAL")</f>
        <v>JUSTICIA SOCIAL</v>
      </c>
      <c r="K90" s="13" t="s">
        <v>15</v>
      </c>
      <c r="L90" s="14" t="n">
        <v>6</v>
      </c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 customFormat="false" ht="15.75" hidden="false" customHeight="true" outlineLevel="0" collapsed="false">
      <c r="A91" s="5" t="s">
        <v>48</v>
      </c>
      <c r="B91" s="6" t="n">
        <v>30045483</v>
      </c>
      <c r="C91" s="7" t="s">
        <v>13</v>
      </c>
      <c r="D91" s="16" t="s">
        <v>14</v>
      </c>
      <c r="E91" s="12" t="str">
        <f aca="false">IFERROR(__xludf.dummyfunction("""COMPUTED_VALUE"""),"Mejuto Ivana")</f>
        <v>Mejuto Ivana</v>
      </c>
      <c r="F91" s="10" t="str">
        <f aca="false">IFERROR(__xludf.dummyfunction("""COMPUTED_VALUE"""),"Martes")</f>
        <v>Martes</v>
      </c>
      <c r="G91" s="11" t="n">
        <f aca="false">IFERROR(__xludf.dummyfunction("""COMPUTED_VALUE"""),0.333333333333333)</f>
        <v>0.333333333333333</v>
      </c>
      <c r="H91" s="11" t="n">
        <f aca="false">IFERROR(__xludf.dummyfunction("""COMPUTED_VALUE"""),0.5)</f>
        <v>0.5</v>
      </c>
      <c r="I91" s="12" t="str">
        <f aca="false">IFERROR(__xludf.dummyfunction("""COMPUTED_VALUE"""),"AULA JS-004-")</f>
        <v>AULA JS-004-</v>
      </c>
      <c r="J91" s="12" t="str">
        <f aca="false">IFERROR(__xludf.dummyfunction("""COMPUTED_VALUE"""),"JUSTICIA SOCIAL")</f>
        <v>JUSTICIA SOCIAL</v>
      </c>
      <c r="K91" s="13" t="s">
        <v>15</v>
      </c>
      <c r="L91" s="14" t="n">
        <v>6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customFormat="false" ht="15.75" hidden="false" customHeight="true" outlineLevel="0" collapsed="false">
      <c r="A92" s="5" t="s">
        <v>49</v>
      </c>
      <c r="B92" s="6" t="n">
        <v>43641507</v>
      </c>
      <c r="C92" s="7" t="s">
        <v>16</v>
      </c>
      <c r="D92" s="16" t="s">
        <v>14</v>
      </c>
      <c r="E92" s="12" t="str">
        <f aca="false">IFERROR(__xludf.dummyfunction("""COMPUTED_VALUE"""),"Ibañez Adela")</f>
        <v>Ibañez Adela</v>
      </c>
      <c r="F92" s="10" t="str">
        <f aca="false">IFERROR(__xludf.dummyfunction("""COMPUTED_VALUE"""),"Sábado")</f>
        <v>Sábado</v>
      </c>
      <c r="G92" s="11" t="n">
        <f aca="false">IFERROR(__xludf.dummyfunction("""COMPUTED_VALUE"""),0.375)</f>
        <v>0.375</v>
      </c>
      <c r="H92" s="11" t="n">
        <f aca="false">IFERROR(__xludf.dummyfunction("""COMPUTED_VALUE"""),0.541666666666666)</f>
        <v>0.541666666666666</v>
      </c>
      <c r="I92" s="12" t="str">
        <f aca="false">IFERROR(__xludf.dummyfunction("""COMPUTED_VALUE"""),"AULA JS-004-")</f>
        <v>AULA JS-004-</v>
      </c>
      <c r="J92" s="12" t="str">
        <f aca="false">IFERROR(__xludf.dummyfunction("""COMPUTED_VALUE"""),"JUSTICIA SOCIAL")</f>
        <v>JUSTICIA SOCIAL</v>
      </c>
      <c r="K92" s="13" t="s">
        <v>15</v>
      </c>
      <c r="L92" s="14" t="n">
        <v>3</v>
      </c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 customFormat="false" ht="15.75" hidden="false" customHeight="true" outlineLevel="0" collapsed="false">
      <c r="A93" s="5" t="s">
        <v>49</v>
      </c>
      <c r="B93" s="6" t="n">
        <v>43641507</v>
      </c>
      <c r="C93" s="17" t="s">
        <v>17</v>
      </c>
      <c r="D93" s="16" t="s">
        <v>14</v>
      </c>
      <c r="E93" s="12" t="str">
        <f aca="false">IFERROR(__xludf.dummyfunction("""COMPUTED_VALUE"""),"Mannocchi Valentina")</f>
        <v>Mannocchi Valentina</v>
      </c>
      <c r="F93" s="10" t="str">
        <f aca="false">IFERROR(__xludf.dummyfunction("""COMPUTED_VALUE"""),"Jueves")</f>
        <v>Jueves</v>
      </c>
      <c r="G93" s="11" t="n">
        <f aca="false">IFERROR(__xludf.dummyfunction("""COMPUTED_VALUE"""),0.333333333333333)</f>
        <v>0.333333333333333</v>
      </c>
      <c r="H93" s="11" t="n">
        <f aca="false">IFERROR(__xludf.dummyfunction("""COMPUTED_VALUE"""),0.5)</f>
        <v>0.5</v>
      </c>
      <c r="I93" s="12" t="str">
        <f aca="false">IFERROR(__xludf.dummyfunction("""COMPUTED_VALUE"""),"AULA JS-004-")</f>
        <v>AULA JS-004-</v>
      </c>
      <c r="J93" s="12" t="str">
        <f aca="false">IFERROR(__xludf.dummyfunction("""COMPUTED_VALUE"""),"JUSTICIA SOCIAL")</f>
        <v>JUSTICIA SOCIAL</v>
      </c>
      <c r="K93" s="13" t="s">
        <v>15</v>
      </c>
      <c r="L93" s="14" t="n">
        <v>3</v>
      </c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 customFormat="false" ht="15.75" hidden="false" customHeight="true" outlineLevel="0" collapsed="false">
      <c r="A94" s="5" t="s">
        <v>49</v>
      </c>
      <c r="B94" s="6" t="n">
        <v>43641507</v>
      </c>
      <c r="C94" s="7" t="s">
        <v>13</v>
      </c>
      <c r="D94" s="16" t="s">
        <v>14</v>
      </c>
      <c r="E94" s="12" t="str">
        <f aca="false">IFERROR(__xludf.dummyfunction("""COMPUTED_VALUE"""),"Mejuto Ivana")</f>
        <v>Mejuto Ivana</v>
      </c>
      <c r="F94" s="10" t="str">
        <f aca="false">IFERROR(__xludf.dummyfunction("""COMPUTED_VALUE"""),"Martes")</f>
        <v>Martes</v>
      </c>
      <c r="G94" s="11" t="n">
        <f aca="false">IFERROR(__xludf.dummyfunction("""COMPUTED_VALUE"""),0.333333333333333)</f>
        <v>0.333333333333333</v>
      </c>
      <c r="H94" s="11" t="n">
        <f aca="false">IFERROR(__xludf.dummyfunction("""COMPUTED_VALUE"""),0.5)</f>
        <v>0.5</v>
      </c>
      <c r="I94" s="12" t="str">
        <f aca="false">IFERROR(__xludf.dummyfunction("""COMPUTED_VALUE"""),"AULA JS-004-")</f>
        <v>AULA JS-004-</v>
      </c>
      <c r="J94" s="12" t="str">
        <f aca="false">IFERROR(__xludf.dummyfunction("""COMPUTED_VALUE"""),"JUSTICIA SOCIAL")</f>
        <v>JUSTICIA SOCIAL</v>
      </c>
      <c r="K94" s="13" t="s">
        <v>15</v>
      </c>
      <c r="L94" s="14" t="n">
        <v>3</v>
      </c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 customFormat="false" ht="15.75" hidden="false" customHeight="true" outlineLevel="0" collapsed="false">
      <c r="A95" s="5" t="s">
        <v>50</v>
      </c>
      <c r="B95" s="6" t="n">
        <v>24135085</v>
      </c>
      <c r="C95" s="7" t="s">
        <v>16</v>
      </c>
      <c r="D95" s="16" t="s">
        <v>14</v>
      </c>
      <c r="E95" s="12" t="str">
        <f aca="false">IFERROR(__xludf.dummyfunction("""COMPUTED_VALUE"""),"Ibañez Adela")</f>
        <v>Ibañez Adela</v>
      </c>
      <c r="F95" s="10" t="str">
        <f aca="false">IFERROR(__xludf.dummyfunction("""COMPUTED_VALUE"""),"Sábado")</f>
        <v>Sábado</v>
      </c>
      <c r="G95" s="11" t="n">
        <f aca="false">IFERROR(__xludf.dummyfunction("""COMPUTED_VALUE"""),0.375)</f>
        <v>0.375</v>
      </c>
      <c r="H95" s="11" t="n">
        <f aca="false">IFERROR(__xludf.dummyfunction("""COMPUTED_VALUE"""),0.541666666666666)</f>
        <v>0.541666666666666</v>
      </c>
      <c r="I95" s="12" t="str">
        <f aca="false">IFERROR(__xludf.dummyfunction("""COMPUTED_VALUE"""),"AULA JS-004-")</f>
        <v>AULA JS-004-</v>
      </c>
      <c r="J95" s="12" t="str">
        <f aca="false">IFERROR(__xludf.dummyfunction("""COMPUTED_VALUE"""),"JUSTICIA SOCIAL")</f>
        <v>JUSTICIA SOCIAL</v>
      </c>
      <c r="K95" s="13" t="s">
        <v>15</v>
      </c>
      <c r="L95" s="14" t="n">
        <v>6</v>
      </c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 customFormat="false" ht="15.75" hidden="false" customHeight="true" outlineLevel="0" collapsed="false">
      <c r="A96" s="5" t="s">
        <v>50</v>
      </c>
      <c r="B96" s="6" t="n">
        <v>24135085</v>
      </c>
      <c r="C96" s="17" t="s">
        <v>17</v>
      </c>
      <c r="D96" s="16" t="s">
        <v>14</v>
      </c>
      <c r="E96" s="12" t="str">
        <f aca="false">IFERROR(__xludf.dummyfunction("""COMPUTED_VALUE"""),"Mannocchi Valentina")</f>
        <v>Mannocchi Valentina</v>
      </c>
      <c r="F96" s="10" t="str">
        <f aca="false">IFERROR(__xludf.dummyfunction("""COMPUTED_VALUE"""),"Jueves")</f>
        <v>Jueves</v>
      </c>
      <c r="G96" s="11" t="n">
        <f aca="false">IFERROR(__xludf.dummyfunction("""COMPUTED_VALUE"""),0.333333333333333)</f>
        <v>0.333333333333333</v>
      </c>
      <c r="H96" s="11" t="n">
        <f aca="false">IFERROR(__xludf.dummyfunction("""COMPUTED_VALUE"""),0.5)</f>
        <v>0.5</v>
      </c>
      <c r="I96" s="12" t="str">
        <f aca="false">IFERROR(__xludf.dummyfunction("""COMPUTED_VALUE"""),"AULA JS-004-")</f>
        <v>AULA JS-004-</v>
      </c>
      <c r="J96" s="12" t="str">
        <f aca="false">IFERROR(__xludf.dummyfunction("""COMPUTED_VALUE"""),"JUSTICIA SOCIAL")</f>
        <v>JUSTICIA SOCIAL</v>
      </c>
      <c r="K96" s="13" t="s">
        <v>15</v>
      </c>
      <c r="L96" s="14" t="n">
        <v>6</v>
      </c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 customFormat="false" ht="15.75" hidden="false" customHeight="true" outlineLevel="0" collapsed="false">
      <c r="A97" s="5" t="s">
        <v>50</v>
      </c>
      <c r="B97" s="6" t="n">
        <v>24135085</v>
      </c>
      <c r="C97" s="7" t="s">
        <v>13</v>
      </c>
      <c r="D97" s="16" t="s">
        <v>14</v>
      </c>
      <c r="E97" s="12" t="str">
        <f aca="false">IFERROR(__xludf.dummyfunction("""COMPUTED_VALUE"""),"Mejuto Ivana")</f>
        <v>Mejuto Ivana</v>
      </c>
      <c r="F97" s="10" t="str">
        <f aca="false">IFERROR(__xludf.dummyfunction("""COMPUTED_VALUE"""),"Martes")</f>
        <v>Martes</v>
      </c>
      <c r="G97" s="11" t="n">
        <f aca="false">IFERROR(__xludf.dummyfunction("""COMPUTED_VALUE"""),0.333333333333333)</f>
        <v>0.333333333333333</v>
      </c>
      <c r="H97" s="11" t="n">
        <f aca="false">IFERROR(__xludf.dummyfunction("""COMPUTED_VALUE"""),0.5)</f>
        <v>0.5</v>
      </c>
      <c r="I97" s="12" t="str">
        <f aca="false">IFERROR(__xludf.dummyfunction("""COMPUTED_VALUE"""),"AULA JS-004-")</f>
        <v>AULA JS-004-</v>
      </c>
      <c r="J97" s="12" t="str">
        <f aca="false">IFERROR(__xludf.dummyfunction("""COMPUTED_VALUE"""),"JUSTICIA SOCIAL")</f>
        <v>JUSTICIA SOCIAL</v>
      </c>
      <c r="K97" s="13" t="s">
        <v>15</v>
      </c>
      <c r="L97" s="14" t="n">
        <v>6</v>
      </c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 customFormat="false" ht="15.75" hidden="false" customHeight="true" outlineLevel="0" collapsed="false">
      <c r="A98" s="5" t="s">
        <v>51</v>
      </c>
      <c r="B98" s="6" t="n">
        <v>30048414</v>
      </c>
      <c r="C98" s="7" t="s">
        <v>16</v>
      </c>
      <c r="D98" s="16" t="s">
        <v>14</v>
      </c>
      <c r="E98" s="12" t="str">
        <f aca="false">IFERROR(__xludf.dummyfunction("""COMPUTED_VALUE"""),"Ibañez Adela")</f>
        <v>Ibañez Adela</v>
      </c>
      <c r="F98" s="10" t="str">
        <f aca="false">IFERROR(__xludf.dummyfunction("""COMPUTED_VALUE"""),"Sábado")</f>
        <v>Sábado</v>
      </c>
      <c r="G98" s="11" t="n">
        <f aca="false">IFERROR(__xludf.dummyfunction("""COMPUTED_VALUE"""),0.375)</f>
        <v>0.375</v>
      </c>
      <c r="H98" s="11" t="n">
        <f aca="false">IFERROR(__xludf.dummyfunction("""COMPUTED_VALUE"""),0.541666666666666)</f>
        <v>0.541666666666666</v>
      </c>
      <c r="I98" s="12" t="str">
        <f aca="false">IFERROR(__xludf.dummyfunction("""COMPUTED_VALUE"""),"AULA JS-004-")</f>
        <v>AULA JS-004-</v>
      </c>
      <c r="J98" s="12" t="str">
        <f aca="false">IFERROR(__xludf.dummyfunction("""COMPUTED_VALUE"""),"JUSTICIA SOCIAL")</f>
        <v>JUSTICIA SOCIAL</v>
      </c>
      <c r="K98" s="13" t="s">
        <v>15</v>
      </c>
      <c r="L98" s="14" t="n">
        <v>2</v>
      </c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 customFormat="false" ht="15.75" hidden="false" customHeight="true" outlineLevel="0" collapsed="false">
      <c r="A99" s="5" t="s">
        <v>51</v>
      </c>
      <c r="B99" s="6" t="n">
        <v>30048414</v>
      </c>
      <c r="C99" s="17" t="s">
        <v>17</v>
      </c>
      <c r="D99" s="16" t="s">
        <v>14</v>
      </c>
      <c r="E99" s="12" t="str">
        <f aca="false">IFERROR(__xludf.dummyfunction("""COMPUTED_VALUE"""),"Mannocchi Valentina")</f>
        <v>Mannocchi Valentina</v>
      </c>
      <c r="F99" s="10" t="str">
        <f aca="false">IFERROR(__xludf.dummyfunction("""COMPUTED_VALUE"""),"Jueves")</f>
        <v>Jueves</v>
      </c>
      <c r="G99" s="11" t="n">
        <f aca="false">IFERROR(__xludf.dummyfunction("""COMPUTED_VALUE"""),0.333333333333333)</f>
        <v>0.333333333333333</v>
      </c>
      <c r="H99" s="11" t="n">
        <f aca="false">IFERROR(__xludf.dummyfunction("""COMPUTED_VALUE"""),0.5)</f>
        <v>0.5</v>
      </c>
      <c r="I99" s="12" t="str">
        <f aca="false">IFERROR(__xludf.dummyfunction("""COMPUTED_VALUE"""),"AULA JS-004-")</f>
        <v>AULA JS-004-</v>
      </c>
      <c r="J99" s="12" t="str">
        <f aca="false">IFERROR(__xludf.dummyfunction("""COMPUTED_VALUE"""),"JUSTICIA SOCIAL")</f>
        <v>JUSTICIA SOCIAL</v>
      </c>
      <c r="K99" s="13" t="s">
        <v>15</v>
      </c>
      <c r="L99" s="14" t="n">
        <v>2</v>
      </c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 customFormat="false" ht="15.75" hidden="false" customHeight="true" outlineLevel="0" collapsed="false">
      <c r="A100" s="5" t="s">
        <v>51</v>
      </c>
      <c r="B100" s="6" t="n">
        <v>30048414</v>
      </c>
      <c r="C100" s="7" t="s">
        <v>13</v>
      </c>
      <c r="D100" s="16" t="s">
        <v>14</v>
      </c>
      <c r="E100" s="12" t="str">
        <f aca="false">IFERROR(__xludf.dummyfunction("""COMPUTED_VALUE"""),"Mejuto Ivana")</f>
        <v>Mejuto Ivana</v>
      </c>
      <c r="F100" s="10" t="str">
        <f aca="false">IFERROR(__xludf.dummyfunction("""COMPUTED_VALUE"""),"Martes")</f>
        <v>Martes</v>
      </c>
      <c r="G100" s="11" t="n">
        <f aca="false">IFERROR(__xludf.dummyfunction("""COMPUTED_VALUE"""),0.333333333333333)</f>
        <v>0.333333333333333</v>
      </c>
      <c r="H100" s="11" t="n">
        <f aca="false">IFERROR(__xludf.dummyfunction("""COMPUTED_VALUE"""),0.5)</f>
        <v>0.5</v>
      </c>
      <c r="I100" s="12" t="str">
        <f aca="false">IFERROR(__xludf.dummyfunction("""COMPUTED_VALUE"""),"AULA JS-004-")</f>
        <v>AULA JS-004-</v>
      </c>
      <c r="J100" s="12" t="str">
        <f aca="false">IFERROR(__xludf.dummyfunction("""COMPUTED_VALUE"""),"JUSTICIA SOCIAL")</f>
        <v>JUSTICIA SOCIAL</v>
      </c>
      <c r="K100" s="13" t="s">
        <v>15</v>
      </c>
      <c r="L100" s="14" t="n">
        <v>2</v>
      </c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 customFormat="false" ht="15.75" hidden="false" customHeight="true" outlineLevel="0" collapsed="false">
      <c r="A101" s="5" t="s">
        <v>52</v>
      </c>
      <c r="B101" s="6" t="n">
        <v>29534390</v>
      </c>
      <c r="C101" s="7" t="s">
        <v>16</v>
      </c>
      <c r="D101" s="16" t="s">
        <v>14</v>
      </c>
      <c r="E101" s="12" t="str">
        <f aca="false">IFERROR(__xludf.dummyfunction("""COMPUTED_VALUE"""),"Ibañez Adela")</f>
        <v>Ibañez Adela</v>
      </c>
      <c r="F101" s="10" t="str">
        <f aca="false">IFERROR(__xludf.dummyfunction("""COMPUTED_VALUE"""),"Sábado")</f>
        <v>Sábado</v>
      </c>
      <c r="G101" s="11" t="n">
        <f aca="false">IFERROR(__xludf.dummyfunction("""COMPUTED_VALUE"""),0.375)</f>
        <v>0.375</v>
      </c>
      <c r="H101" s="11" t="n">
        <f aca="false">IFERROR(__xludf.dummyfunction("""COMPUTED_VALUE"""),0.541666666666666)</f>
        <v>0.541666666666666</v>
      </c>
      <c r="I101" s="12" t="str">
        <f aca="false">IFERROR(__xludf.dummyfunction("""COMPUTED_VALUE"""),"AULA JS-004-")</f>
        <v>AULA JS-004-</v>
      </c>
      <c r="J101" s="12" t="str">
        <f aca="false">IFERROR(__xludf.dummyfunction("""COMPUTED_VALUE"""),"JUSTICIA SOCIAL")</f>
        <v>JUSTICIA SOCIAL</v>
      </c>
      <c r="K101" s="13" t="s">
        <v>15</v>
      </c>
      <c r="L101" s="14" t="n">
        <v>5</v>
      </c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 customFormat="false" ht="15.75" hidden="false" customHeight="true" outlineLevel="0" collapsed="false">
      <c r="A102" s="5" t="s">
        <v>52</v>
      </c>
      <c r="B102" s="6" t="n">
        <v>29534390</v>
      </c>
      <c r="C102" s="17" t="s">
        <v>17</v>
      </c>
      <c r="D102" s="16" t="s">
        <v>14</v>
      </c>
      <c r="E102" s="12" t="str">
        <f aca="false">IFERROR(__xludf.dummyfunction("""COMPUTED_VALUE"""),"Mannocchi Valentina")</f>
        <v>Mannocchi Valentina</v>
      </c>
      <c r="F102" s="10" t="str">
        <f aca="false">IFERROR(__xludf.dummyfunction("""COMPUTED_VALUE"""),"Jueves")</f>
        <v>Jueves</v>
      </c>
      <c r="G102" s="11" t="n">
        <f aca="false">IFERROR(__xludf.dummyfunction("""COMPUTED_VALUE"""),0.333333333333333)</f>
        <v>0.333333333333333</v>
      </c>
      <c r="H102" s="11" t="n">
        <f aca="false">IFERROR(__xludf.dummyfunction("""COMPUTED_VALUE"""),0.5)</f>
        <v>0.5</v>
      </c>
      <c r="I102" s="12" t="str">
        <f aca="false">IFERROR(__xludf.dummyfunction("""COMPUTED_VALUE"""),"AULA JS-004-")</f>
        <v>AULA JS-004-</v>
      </c>
      <c r="J102" s="12" t="str">
        <f aca="false">IFERROR(__xludf.dummyfunction("""COMPUTED_VALUE"""),"JUSTICIA SOCIAL")</f>
        <v>JUSTICIA SOCIAL</v>
      </c>
      <c r="K102" s="13" t="s">
        <v>15</v>
      </c>
      <c r="L102" s="14" t="n">
        <v>5</v>
      </c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 customFormat="false" ht="15.75" hidden="false" customHeight="true" outlineLevel="0" collapsed="false">
      <c r="A103" s="5" t="s">
        <v>52</v>
      </c>
      <c r="B103" s="6" t="n">
        <v>29534390</v>
      </c>
      <c r="C103" s="7" t="s">
        <v>13</v>
      </c>
      <c r="D103" s="16" t="s">
        <v>14</v>
      </c>
      <c r="E103" s="12" t="str">
        <f aca="false">IFERROR(__xludf.dummyfunction("""COMPUTED_VALUE"""),"Mejuto Ivana")</f>
        <v>Mejuto Ivana</v>
      </c>
      <c r="F103" s="10" t="str">
        <f aca="false">IFERROR(__xludf.dummyfunction("""COMPUTED_VALUE"""),"Martes")</f>
        <v>Martes</v>
      </c>
      <c r="G103" s="11" t="n">
        <f aca="false">IFERROR(__xludf.dummyfunction("""COMPUTED_VALUE"""),0.333333333333333)</f>
        <v>0.333333333333333</v>
      </c>
      <c r="H103" s="11" t="n">
        <f aca="false">IFERROR(__xludf.dummyfunction("""COMPUTED_VALUE"""),0.5)</f>
        <v>0.5</v>
      </c>
      <c r="I103" s="12" t="str">
        <f aca="false">IFERROR(__xludf.dummyfunction("""COMPUTED_VALUE"""),"AULA JS-004-")</f>
        <v>AULA JS-004-</v>
      </c>
      <c r="J103" s="12" t="str">
        <f aca="false">IFERROR(__xludf.dummyfunction("""COMPUTED_VALUE"""),"JUSTICIA SOCIAL")</f>
        <v>JUSTICIA SOCIAL</v>
      </c>
      <c r="K103" s="13" t="s">
        <v>15</v>
      </c>
      <c r="L103" s="14" t="n">
        <v>5</v>
      </c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 customFormat="false" ht="15.75" hidden="false" customHeight="true" outlineLevel="0" collapsed="false">
      <c r="A104" s="18" t="s">
        <v>53</v>
      </c>
      <c r="B104" s="6" t="n">
        <v>45582218</v>
      </c>
      <c r="C104" s="7" t="s">
        <v>16</v>
      </c>
      <c r="D104" s="16" t="s">
        <v>14</v>
      </c>
      <c r="E104" s="12" t="str">
        <f aca="false">IFERROR(__xludf.dummyfunction("""COMPUTED_VALUE"""),"Ibañez Adela")</f>
        <v>Ibañez Adela</v>
      </c>
      <c r="F104" s="10" t="str">
        <f aca="false">IFERROR(__xludf.dummyfunction("""COMPUTED_VALUE"""),"Sábado")</f>
        <v>Sábado</v>
      </c>
      <c r="G104" s="11" t="n">
        <f aca="false">IFERROR(__xludf.dummyfunction("""COMPUTED_VALUE"""),0.375)</f>
        <v>0.375</v>
      </c>
      <c r="H104" s="11" t="n">
        <f aca="false">IFERROR(__xludf.dummyfunction("""COMPUTED_VALUE"""),0.541666666666666)</f>
        <v>0.541666666666666</v>
      </c>
      <c r="I104" s="12" t="str">
        <f aca="false">IFERROR(__xludf.dummyfunction("""COMPUTED_VALUE"""),"AULA JS-004-")</f>
        <v>AULA JS-004-</v>
      </c>
      <c r="J104" s="12" t="str">
        <f aca="false">IFERROR(__xludf.dummyfunction("""COMPUTED_VALUE"""),"JUSTICIA SOCIAL")</f>
        <v>JUSTICIA SOCIAL</v>
      </c>
      <c r="K104" s="13" t="s">
        <v>15</v>
      </c>
      <c r="L104" s="14" t="n">
        <v>2</v>
      </c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 customFormat="false" ht="15.75" hidden="false" customHeight="true" outlineLevel="0" collapsed="false">
      <c r="A105" s="18" t="s">
        <v>53</v>
      </c>
      <c r="B105" s="6" t="n">
        <v>45582218</v>
      </c>
      <c r="C105" s="17" t="s">
        <v>17</v>
      </c>
      <c r="D105" s="16" t="s">
        <v>14</v>
      </c>
      <c r="E105" s="12" t="str">
        <f aca="false">IFERROR(__xludf.dummyfunction("""COMPUTED_VALUE"""),"Mannocchi Valentina")</f>
        <v>Mannocchi Valentina</v>
      </c>
      <c r="F105" s="10" t="str">
        <f aca="false">IFERROR(__xludf.dummyfunction("""COMPUTED_VALUE"""),"Jueves")</f>
        <v>Jueves</v>
      </c>
      <c r="G105" s="11" t="n">
        <f aca="false">IFERROR(__xludf.dummyfunction("""COMPUTED_VALUE"""),0.333333333333333)</f>
        <v>0.333333333333333</v>
      </c>
      <c r="H105" s="11" t="n">
        <f aca="false">IFERROR(__xludf.dummyfunction("""COMPUTED_VALUE"""),0.5)</f>
        <v>0.5</v>
      </c>
      <c r="I105" s="12" t="str">
        <f aca="false">IFERROR(__xludf.dummyfunction("""COMPUTED_VALUE"""),"AULA JS-004-")</f>
        <v>AULA JS-004-</v>
      </c>
      <c r="J105" s="12" t="str">
        <f aca="false">IFERROR(__xludf.dummyfunction("""COMPUTED_VALUE"""),"JUSTICIA SOCIAL")</f>
        <v>JUSTICIA SOCIAL</v>
      </c>
      <c r="K105" s="13" t="s">
        <v>15</v>
      </c>
      <c r="L105" s="14" t="n">
        <v>2</v>
      </c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 customFormat="false" ht="15.75" hidden="false" customHeight="true" outlineLevel="0" collapsed="false">
      <c r="A106" s="18" t="s">
        <v>53</v>
      </c>
      <c r="B106" s="6" t="n">
        <v>45582218</v>
      </c>
      <c r="C106" s="7" t="s">
        <v>13</v>
      </c>
      <c r="D106" s="16" t="s">
        <v>14</v>
      </c>
      <c r="E106" s="12" t="str">
        <f aca="false">IFERROR(__xludf.dummyfunction("""COMPUTED_VALUE"""),"Mejuto Ivana")</f>
        <v>Mejuto Ivana</v>
      </c>
      <c r="F106" s="10" t="str">
        <f aca="false">IFERROR(__xludf.dummyfunction("""COMPUTED_VALUE"""),"Martes")</f>
        <v>Martes</v>
      </c>
      <c r="G106" s="11" t="n">
        <f aca="false">IFERROR(__xludf.dummyfunction("""COMPUTED_VALUE"""),0.333333333333333)</f>
        <v>0.333333333333333</v>
      </c>
      <c r="H106" s="11" t="n">
        <f aca="false">IFERROR(__xludf.dummyfunction("""COMPUTED_VALUE"""),0.5)</f>
        <v>0.5</v>
      </c>
      <c r="I106" s="12" t="str">
        <f aca="false">IFERROR(__xludf.dummyfunction("""COMPUTED_VALUE"""),"AULA JS-004-")</f>
        <v>AULA JS-004-</v>
      </c>
      <c r="J106" s="12" t="str">
        <f aca="false">IFERROR(__xludf.dummyfunction("""COMPUTED_VALUE"""),"JUSTICIA SOCIAL")</f>
        <v>JUSTICIA SOCIAL</v>
      </c>
      <c r="K106" s="13" t="s">
        <v>15</v>
      </c>
      <c r="L106" s="14" t="n">
        <v>2</v>
      </c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 customFormat="false" ht="15.75" hidden="false" customHeight="true" outlineLevel="0" collapsed="false">
      <c r="A107" s="5" t="s">
        <v>54</v>
      </c>
      <c r="B107" s="6" t="n">
        <v>26885556</v>
      </c>
      <c r="C107" s="7" t="s">
        <v>16</v>
      </c>
      <c r="D107" s="16" t="s">
        <v>14</v>
      </c>
      <c r="E107" s="12" t="str">
        <f aca="false">IFERROR(__xludf.dummyfunction("""COMPUTED_VALUE"""),"Ibañez Adela")</f>
        <v>Ibañez Adela</v>
      </c>
      <c r="F107" s="10" t="str">
        <f aca="false">IFERROR(__xludf.dummyfunction("""COMPUTED_VALUE"""),"Sábado")</f>
        <v>Sábado</v>
      </c>
      <c r="G107" s="11" t="n">
        <f aca="false">IFERROR(__xludf.dummyfunction("""COMPUTED_VALUE"""),0.375)</f>
        <v>0.375</v>
      </c>
      <c r="H107" s="11" t="n">
        <f aca="false">IFERROR(__xludf.dummyfunction("""COMPUTED_VALUE"""),0.541666666666666)</f>
        <v>0.541666666666666</v>
      </c>
      <c r="I107" s="12" t="str">
        <f aca="false">IFERROR(__xludf.dummyfunction("""COMPUTED_VALUE"""),"AULA JS-004-")</f>
        <v>AULA JS-004-</v>
      </c>
      <c r="J107" s="12" t="str">
        <f aca="false">IFERROR(__xludf.dummyfunction("""COMPUTED_VALUE"""),"JUSTICIA SOCIAL")</f>
        <v>JUSTICIA SOCIAL</v>
      </c>
      <c r="K107" s="13" t="s">
        <v>15</v>
      </c>
      <c r="L107" s="14" t="n">
        <v>5</v>
      </c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 customFormat="false" ht="15.75" hidden="false" customHeight="true" outlineLevel="0" collapsed="false">
      <c r="A108" s="5" t="s">
        <v>54</v>
      </c>
      <c r="B108" s="6" t="n">
        <v>26885556</v>
      </c>
      <c r="C108" s="17" t="s">
        <v>17</v>
      </c>
      <c r="D108" s="16" t="s">
        <v>14</v>
      </c>
      <c r="E108" s="12" t="str">
        <f aca="false">IFERROR(__xludf.dummyfunction("""COMPUTED_VALUE"""),"Mannocchi Valentina")</f>
        <v>Mannocchi Valentina</v>
      </c>
      <c r="F108" s="10" t="str">
        <f aca="false">IFERROR(__xludf.dummyfunction("""COMPUTED_VALUE"""),"Jueves")</f>
        <v>Jueves</v>
      </c>
      <c r="G108" s="11" t="n">
        <f aca="false">IFERROR(__xludf.dummyfunction("""COMPUTED_VALUE"""),0.333333333333333)</f>
        <v>0.333333333333333</v>
      </c>
      <c r="H108" s="11" t="n">
        <f aca="false">IFERROR(__xludf.dummyfunction("""COMPUTED_VALUE"""),0.5)</f>
        <v>0.5</v>
      </c>
      <c r="I108" s="12" t="str">
        <f aca="false">IFERROR(__xludf.dummyfunction("""COMPUTED_VALUE"""),"AULA JS-004-")</f>
        <v>AULA JS-004-</v>
      </c>
      <c r="J108" s="12" t="str">
        <f aca="false">IFERROR(__xludf.dummyfunction("""COMPUTED_VALUE"""),"JUSTICIA SOCIAL")</f>
        <v>JUSTICIA SOCIAL</v>
      </c>
      <c r="K108" s="13" t="s">
        <v>15</v>
      </c>
      <c r="L108" s="14" t="n">
        <v>5</v>
      </c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 customFormat="false" ht="15.75" hidden="false" customHeight="true" outlineLevel="0" collapsed="false">
      <c r="A109" s="5" t="s">
        <v>54</v>
      </c>
      <c r="B109" s="6" t="n">
        <v>26885556</v>
      </c>
      <c r="C109" s="7" t="s">
        <v>13</v>
      </c>
      <c r="D109" s="16" t="s">
        <v>14</v>
      </c>
      <c r="E109" s="12" t="str">
        <f aca="false">IFERROR(__xludf.dummyfunction("""COMPUTED_VALUE"""),"Mejuto Ivana")</f>
        <v>Mejuto Ivana</v>
      </c>
      <c r="F109" s="10" t="str">
        <f aca="false">IFERROR(__xludf.dummyfunction("""COMPUTED_VALUE"""),"Martes")</f>
        <v>Martes</v>
      </c>
      <c r="G109" s="11" t="n">
        <f aca="false">IFERROR(__xludf.dummyfunction("""COMPUTED_VALUE"""),0.333333333333333)</f>
        <v>0.333333333333333</v>
      </c>
      <c r="H109" s="11" t="n">
        <f aca="false">IFERROR(__xludf.dummyfunction("""COMPUTED_VALUE"""),0.5)</f>
        <v>0.5</v>
      </c>
      <c r="I109" s="12" t="str">
        <f aca="false">IFERROR(__xludf.dummyfunction("""COMPUTED_VALUE"""),"AULA JS-004-")</f>
        <v>AULA JS-004-</v>
      </c>
      <c r="J109" s="12" t="str">
        <f aca="false">IFERROR(__xludf.dummyfunction("""COMPUTED_VALUE"""),"JUSTICIA SOCIAL")</f>
        <v>JUSTICIA SOCIAL</v>
      </c>
      <c r="K109" s="13" t="s">
        <v>15</v>
      </c>
      <c r="L109" s="14" t="n">
        <v>5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 customFormat="false" ht="15.75" hidden="false" customHeight="true" outlineLevel="0" collapsed="false">
      <c r="A110" s="5" t="s">
        <v>55</v>
      </c>
      <c r="B110" s="6" t="n">
        <v>38108559</v>
      </c>
      <c r="C110" s="7" t="s">
        <v>16</v>
      </c>
      <c r="D110" s="16" t="s">
        <v>14</v>
      </c>
      <c r="E110" s="12" t="str">
        <f aca="false">IFERROR(__xludf.dummyfunction("""COMPUTED_VALUE"""),"Ibañez Adela")</f>
        <v>Ibañez Adela</v>
      </c>
      <c r="F110" s="10" t="str">
        <f aca="false">IFERROR(__xludf.dummyfunction("""COMPUTED_VALUE"""),"Sábado")</f>
        <v>Sábado</v>
      </c>
      <c r="G110" s="11" t="n">
        <f aca="false">IFERROR(__xludf.dummyfunction("""COMPUTED_VALUE"""),0.375)</f>
        <v>0.375</v>
      </c>
      <c r="H110" s="11" t="n">
        <f aca="false">IFERROR(__xludf.dummyfunction("""COMPUTED_VALUE"""),0.541666666666666)</f>
        <v>0.541666666666666</v>
      </c>
      <c r="I110" s="12" t="str">
        <f aca="false">IFERROR(__xludf.dummyfunction("""COMPUTED_VALUE"""),"AULA JS-004-")</f>
        <v>AULA JS-004-</v>
      </c>
      <c r="J110" s="12" t="str">
        <f aca="false">IFERROR(__xludf.dummyfunction("""COMPUTED_VALUE"""),"JUSTICIA SOCIAL")</f>
        <v>JUSTICIA SOCIAL</v>
      </c>
      <c r="K110" s="13" t="s">
        <v>15</v>
      </c>
      <c r="L110" s="14" t="n">
        <v>4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 customFormat="false" ht="15.75" hidden="false" customHeight="true" outlineLevel="0" collapsed="false">
      <c r="A111" s="5" t="s">
        <v>55</v>
      </c>
      <c r="B111" s="6" t="n">
        <v>38108559</v>
      </c>
      <c r="C111" s="17" t="s">
        <v>17</v>
      </c>
      <c r="D111" s="16" t="s">
        <v>14</v>
      </c>
      <c r="E111" s="12" t="str">
        <f aca="false">IFERROR(__xludf.dummyfunction("""COMPUTED_VALUE"""),"Mannocchi Valentina")</f>
        <v>Mannocchi Valentina</v>
      </c>
      <c r="F111" s="10" t="str">
        <f aca="false">IFERROR(__xludf.dummyfunction("""COMPUTED_VALUE"""),"Jueves")</f>
        <v>Jueves</v>
      </c>
      <c r="G111" s="11" t="n">
        <f aca="false">IFERROR(__xludf.dummyfunction("""COMPUTED_VALUE"""),0.333333333333333)</f>
        <v>0.333333333333333</v>
      </c>
      <c r="H111" s="11" t="n">
        <f aca="false">IFERROR(__xludf.dummyfunction("""COMPUTED_VALUE"""),0.5)</f>
        <v>0.5</v>
      </c>
      <c r="I111" s="12" t="str">
        <f aca="false">IFERROR(__xludf.dummyfunction("""COMPUTED_VALUE"""),"AULA JS-004-")</f>
        <v>AULA JS-004-</v>
      </c>
      <c r="J111" s="12" t="str">
        <f aca="false">IFERROR(__xludf.dummyfunction("""COMPUTED_VALUE"""),"JUSTICIA SOCIAL")</f>
        <v>JUSTICIA SOCIAL</v>
      </c>
      <c r="K111" s="13" t="s">
        <v>15</v>
      </c>
      <c r="L111" s="14" t="n">
        <v>4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 customFormat="false" ht="15.75" hidden="false" customHeight="true" outlineLevel="0" collapsed="false">
      <c r="A112" s="5" t="s">
        <v>55</v>
      </c>
      <c r="B112" s="6" t="n">
        <v>38108559</v>
      </c>
      <c r="C112" s="7" t="s">
        <v>13</v>
      </c>
      <c r="D112" s="16" t="s">
        <v>14</v>
      </c>
      <c r="E112" s="12" t="str">
        <f aca="false">IFERROR(__xludf.dummyfunction("""COMPUTED_VALUE"""),"Mejuto Ivana")</f>
        <v>Mejuto Ivana</v>
      </c>
      <c r="F112" s="10" t="str">
        <f aca="false">IFERROR(__xludf.dummyfunction("""COMPUTED_VALUE"""),"Martes")</f>
        <v>Martes</v>
      </c>
      <c r="G112" s="11" t="n">
        <f aca="false">IFERROR(__xludf.dummyfunction("""COMPUTED_VALUE"""),0.333333333333333)</f>
        <v>0.333333333333333</v>
      </c>
      <c r="H112" s="11" t="n">
        <f aca="false">IFERROR(__xludf.dummyfunction("""COMPUTED_VALUE"""),0.5)</f>
        <v>0.5</v>
      </c>
      <c r="I112" s="12" t="str">
        <f aca="false">IFERROR(__xludf.dummyfunction("""COMPUTED_VALUE"""),"AULA JS-004-")</f>
        <v>AULA JS-004-</v>
      </c>
      <c r="J112" s="12" t="str">
        <f aca="false">IFERROR(__xludf.dummyfunction("""COMPUTED_VALUE"""),"JUSTICIA SOCIAL")</f>
        <v>JUSTICIA SOCIAL</v>
      </c>
      <c r="K112" s="13" t="s">
        <v>15</v>
      </c>
      <c r="L112" s="14" t="n">
        <v>4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 customFormat="false" ht="15.75" hidden="false" customHeight="true" outlineLevel="0" collapsed="false">
      <c r="A113" s="5" t="s">
        <v>56</v>
      </c>
      <c r="B113" s="6" t="n">
        <v>36620471</v>
      </c>
      <c r="C113" s="7" t="s">
        <v>16</v>
      </c>
      <c r="D113" s="16" t="s">
        <v>14</v>
      </c>
      <c r="E113" s="12" t="str">
        <f aca="false">IFERROR(__xludf.dummyfunction("""COMPUTED_VALUE"""),"Ibañez Adela")</f>
        <v>Ibañez Adela</v>
      </c>
      <c r="F113" s="10" t="str">
        <f aca="false">IFERROR(__xludf.dummyfunction("""COMPUTED_VALUE"""),"Sábado")</f>
        <v>Sábado</v>
      </c>
      <c r="G113" s="11" t="n">
        <f aca="false">IFERROR(__xludf.dummyfunction("""COMPUTED_VALUE"""),0.375)</f>
        <v>0.375</v>
      </c>
      <c r="H113" s="11" t="n">
        <f aca="false">IFERROR(__xludf.dummyfunction("""COMPUTED_VALUE"""),0.541666666666666)</f>
        <v>0.541666666666666</v>
      </c>
      <c r="I113" s="12" t="str">
        <f aca="false">IFERROR(__xludf.dummyfunction("""COMPUTED_VALUE"""),"AULA JS-004-")</f>
        <v>AULA JS-004-</v>
      </c>
      <c r="J113" s="12" t="str">
        <f aca="false">IFERROR(__xludf.dummyfunction("""COMPUTED_VALUE"""),"JUSTICIA SOCIAL")</f>
        <v>JUSTICIA SOCIAL</v>
      </c>
      <c r="K113" s="13" t="s">
        <v>15</v>
      </c>
      <c r="L113" s="14" t="n">
        <v>5</v>
      </c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 customFormat="false" ht="15.75" hidden="false" customHeight="true" outlineLevel="0" collapsed="false">
      <c r="A114" s="5" t="s">
        <v>56</v>
      </c>
      <c r="B114" s="6" t="n">
        <v>36620471</v>
      </c>
      <c r="C114" s="17" t="s">
        <v>17</v>
      </c>
      <c r="D114" s="16" t="s">
        <v>14</v>
      </c>
      <c r="E114" s="12" t="str">
        <f aca="false">IFERROR(__xludf.dummyfunction("""COMPUTED_VALUE"""),"Mannocchi Valentina")</f>
        <v>Mannocchi Valentina</v>
      </c>
      <c r="F114" s="10" t="str">
        <f aca="false">IFERROR(__xludf.dummyfunction("""COMPUTED_VALUE"""),"Jueves")</f>
        <v>Jueves</v>
      </c>
      <c r="G114" s="11" t="n">
        <f aca="false">IFERROR(__xludf.dummyfunction("""COMPUTED_VALUE"""),0.333333333333333)</f>
        <v>0.333333333333333</v>
      </c>
      <c r="H114" s="11" t="n">
        <f aca="false">IFERROR(__xludf.dummyfunction("""COMPUTED_VALUE"""),0.5)</f>
        <v>0.5</v>
      </c>
      <c r="I114" s="12" t="str">
        <f aca="false">IFERROR(__xludf.dummyfunction("""COMPUTED_VALUE"""),"AULA JS-004-")</f>
        <v>AULA JS-004-</v>
      </c>
      <c r="J114" s="12" t="str">
        <f aca="false">IFERROR(__xludf.dummyfunction("""COMPUTED_VALUE"""),"JUSTICIA SOCIAL")</f>
        <v>JUSTICIA SOCIAL</v>
      </c>
      <c r="K114" s="13" t="s">
        <v>15</v>
      </c>
      <c r="L114" s="14" t="n">
        <v>5</v>
      </c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 customFormat="false" ht="15.75" hidden="false" customHeight="true" outlineLevel="0" collapsed="false">
      <c r="A115" s="5" t="s">
        <v>56</v>
      </c>
      <c r="B115" s="6" t="n">
        <v>36620471</v>
      </c>
      <c r="C115" s="7" t="s">
        <v>13</v>
      </c>
      <c r="D115" s="16" t="s">
        <v>14</v>
      </c>
      <c r="E115" s="12" t="str">
        <f aca="false">IFERROR(__xludf.dummyfunction("""COMPUTED_VALUE"""),"Mejuto Ivana")</f>
        <v>Mejuto Ivana</v>
      </c>
      <c r="F115" s="10" t="str">
        <f aca="false">IFERROR(__xludf.dummyfunction("""COMPUTED_VALUE"""),"Martes")</f>
        <v>Martes</v>
      </c>
      <c r="G115" s="11" t="n">
        <f aca="false">IFERROR(__xludf.dummyfunction("""COMPUTED_VALUE"""),0.333333333333333)</f>
        <v>0.333333333333333</v>
      </c>
      <c r="H115" s="11" t="n">
        <f aca="false">IFERROR(__xludf.dummyfunction("""COMPUTED_VALUE"""),0.5)</f>
        <v>0.5</v>
      </c>
      <c r="I115" s="12" t="str">
        <f aca="false">IFERROR(__xludf.dummyfunction("""COMPUTED_VALUE"""),"AULA JS-004-")</f>
        <v>AULA JS-004-</v>
      </c>
      <c r="J115" s="12" t="str">
        <f aca="false">IFERROR(__xludf.dummyfunction("""COMPUTED_VALUE"""),"JUSTICIA SOCIAL")</f>
        <v>JUSTICIA SOCIAL</v>
      </c>
      <c r="K115" s="13" t="s">
        <v>15</v>
      </c>
      <c r="L115" s="14" t="n">
        <v>5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 customFormat="false" ht="15.75" hidden="false" customHeight="true" outlineLevel="0" collapsed="false">
      <c r="A116" s="5" t="s">
        <v>57</v>
      </c>
      <c r="B116" s="6" t="n">
        <v>39969322</v>
      </c>
      <c r="C116" s="7" t="s">
        <v>16</v>
      </c>
      <c r="D116" s="16" t="s">
        <v>14</v>
      </c>
      <c r="E116" s="12" t="str">
        <f aca="false">IFERROR(__xludf.dummyfunction("""COMPUTED_VALUE"""),"Ibañez Adela")</f>
        <v>Ibañez Adela</v>
      </c>
      <c r="F116" s="10" t="str">
        <f aca="false">IFERROR(__xludf.dummyfunction("""COMPUTED_VALUE"""),"Sábado")</f>
        <v>Sábado</v>
      </c>
      <c r="G116" s="11" t="n">
        <f aca="false">IFERROR(__xludf.dummyfunction("""COMPUTED_VALUE"""),0.375)</f>
        <v>0.375</v>
      </c>
      <c r="H116" s="11" t="n">
        <f aca="false">IFERROR(__xludf.dummyfunction("""COMPUTED_VALUE"""),0.541666666666666)</f>
        <v>0.541666666666666</v>
      </c>
      <c r="I116" s="12" t="str">
        <f aca="false">IFERROR(__xludf.dummyfunction("""COMPUTED_VALUE"""),"AULA JS-004-")</f>
        <v>AULA JS-004-</v>
      </c>
      <c r="J116" s="12" t="str">
        <f aca="false">IFERROR(__xludf.dummyfunction("""COMPUTED_VALUE"""),"JUSTICIA SOCIAL")</f>
        <v>JUSTICIA SOCIAL</v>
      </c>
      <c r="K116" s="13" t="s">
        <v>15</v>
      </c>
      <c r="L116" s="14" t="n">
        <v>6</v>
      </c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 customFormat="false" ht="15.75" hidden="false" customHeight="true" outlineLevel="0" collapsed="false">
      <c r="A117" s="5" t="s">
        <v>58</v>
      </c>
      <c r="B117" s="6" t="n">
        <v>36398034</v>
      </c>
      <c r="C117" s="17" t="s">
        <v>17</v>
      </c>
      <c r="D117" s="16" t="s">
        <v>14</v>
      </c>
      <c r="E117" s="12" t="str">
        <f aca="false">IFERROR(__xludf.dummyfunction("""COMPUTED_VALUE"""),"Mannocchi Valentina")</f>
        <v>Mannocchi Valentina</v>
      </c>
      <c r="F117" s="10" t="str">
        <f aca="false">IFERROR(__xludf.dummyfunction("""COMPUTED_VALUE"""),"Jueves")</f>
        <v>Jueves</v>
      </c>
      <c r="G117" s="11" t="n">
        <f aca="false">IFERROR(__xludf.dummyfunction("""COMPUTED_VALUE"""),0.333333333333333)</f>
        <v>0.333333333333333</v>
      </c>
      <c r="H117" s="11" t="n">
        <f aca="false">IFERROR(__xludf.dummyfunction("""COMPUTED_VALUE"""),0.5)</f>
        <v>0.5</v>
      </c>
      <c r="I117" s="12" t="str">
        <f aca="false">IFERROR(__xludf.dummyfunction("""COMPUTED_VALUE"""),"AULA JS-004-")</f>
        <v>AULA JS-004-</v>
      </c>
      <c r="J117" s="12" t="str">
        <f aca="false">IFERROR(__xludf.dummyfunction("""COMPUTED_VALUE"""),"JUSTICIA SOCIAL")</f>
        <v>JUSTICIA SOCIAL</v>
      </c>
      <c r="K117" s="13" t="s">
        <v>15</v>
      </c>
      <c r="L117" s="14" t="n">
        <v>6</v>
      </c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 customFormat="false" ht="15.75" hidden="false" customHeight="true" outlineLevel="0" collapsed="false">
      <c r="A118" s="5" t="s">
        <v>58</v>
      </c>
      <c r="B118" s="6" t="n">
        <v>36398034</v>
      </c>
      <c r="C118" s="7" t="s">
        <v>13</v>
      </c>
      <c r="D118" s="16" t="s">
        <v>14</v>
      </c>
      <c r="E118" s="12" t="str">
        <f aca="false">IFERROR(__xludf.dummyfunction("""COMPUTED_VALUE"""),"Mejuto Ivana")</f>
        <v>Mejuto Ivana</v>
      </c>
      <c r="F118" s="10" t="str">
        <f aca="false">IFERROR(__xludf.dummyfunction("""COMPUTED_VALUE"""),"Martes")</f>
        <v>Martes</v>
      </c>
      <c r="G118" s="11" t="n">
        <f aca="false">IFERROR(__xludf.dummyfunction("""COMPUTED_VALUE"""),0.333333333333333)</f>
        <v>0.333333333333333</v>
      </c>
      <c r="H118" s="11" t="n">
        <f aca="false">IFERROR(__xludf.dummyfunction("""COMPUTED_VALUE"""),0.5)</f>
        <v>0.5</v>
      </c>
      <c r="I118" s="12" t="str">
        <f aca="false">IFERROR(__xludf.dummyfunction("""COMPUTED_VALUE"""),"AULA JS-004-")</f>
        <v>AULA JS-004-</v>
      </c>
      <c r="J118" s="12" t="str">
        <f aca="false">IFERROR(__xludf.dummyfunction("""COMPUTED_VALUE"""),"JUSTICIA SOCIAL")</f>
        <v>JUSTICIA SOCIAL</v>
      </c>
      <c r="K118" s="13" t="s">
        <v>15</v>
      </c>
      <c r="L118" s="14" t="n">
        <v>6</v>
      </c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 customFormat="false" ht="15.75" hidden="false" customHeight="true" outlineLevel="0" collapsed="false">
      <c r="A119" s="5" t="s">
        <v>58</v>
      </c>
      <c r="B119" s="6" t="n">
        <v>36398034</v>
      </c>
      <c r="C119" s="7" t="s">
        <v>16</v>
      </c>
      <c r="D119" s="16" t="s">
        <v>14</v>
      </c>
      <c r="E119" s="12" t="str">
        <f aca="false">IFERROR(__xludf.dummyfunction("""COMPUTED_VALUE"""),"Ibañez Adela")</f>
        <v>Ibañez Adela</v>
      </c>
      <c r="F119" s="10" t="str">
        <f aca="false">IFERROR(__xludf.dummyfunction("""COMPUTED_VALUE"""),"Sábado")</f>
        <v>Sábado</v>
      </c>
      <c r="G119" s="11" t="n">
        <f aca="false">IFERROR(__xludf.dummyfunction("""COMPUTED_VALUE"""),0.375)</f>
        <v>0.375</v>
      </c>
      <c r="H119" s="11" t="n">
        <f aca="false">IFERROR(__xludf.dummyfunction("""COMPUTED_VALUE"""),0.541666666666666)</f>
        <v>0.541666666666666</v>
      </c>
      <c r="I119" s="12" t="str">
        <f aca="false">IFERROR(__xludf.dummyfunction("""COMPUTED_VALUE"""),"AULA JS-004-")</f>
        <v>AULA JS-004-</v>
      </c>
      <c r="J119" s="12" t="str">
        <f aca="false">IFERROR(__xludf.dummyfunction("""COMPUTED_VALUE"""),"JUSTICIA SOCIAL")</f>
        <v>JUSTICIA SOCIAL</v>
      </c>
      <c r="K119" s="13" t="s">
        <v>15</v>
      </c>
      <c r="L119" s="14" t="n">
        <v>5</v>
      </c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 customFormat="false" ht="15.75" hidden="false" customHeight="true" outlineLevel="0" collapsed="false">
      <c r="A120" s="5" t="s">
        <v>59</v>
      </c>
      <c r="B120" s="6" t="n">
        <v>25515509</v>
      </c>
      <c r="C120" s="17" t="s">
        <v>17</v>
      </c>
      <c r="D120" s="16" t="s">
        <v>14</v>
      </c>
      <c r="E120" s="12" t="str">
        <f aca="false">IFERROR(__xludf.dummyfunction("""COMPUTED_VALUE"""),"Mannocchi Valentina")</f>
        <v>Mannocchi Valentina</v>
      </c>
      <c r="F120" s="10" t="str">
        <f aca="false">IFERROR(__xludf.dummyfunction("""COMPUTED_VALUE"""),"Jueves")</f>
        <v>Jueves</v>
      </c>
      <c r="G120" s="11" t="n">
        <f aca="false">IFERROR(__xludf.dummyfunction("""COMPUTED_VALUE"""),0.333333333333333)</f>
        <v>0.333333333333333</v>
      </c>
      <c r="H120" s="11" t="n">
        <f aca="false">IFERROR(__xludf.dummyfunction("""COMPUTED_VALUE"""),0.5)</f>
        <v>0.5</v>
      </c>
      <c r="I120" s="12" t="str">
        <f aca="false">IFERROR(__xludf.dummyfunction("""COMPUTED_VALUE"""),"AULA JS-004-")</f>
        <v>AULA JS-004-</v>
      </c>
      <c r="J120" s="12" t="str">
        <f aca="false">IFERROR(__xludf.dummyfunction("""COMPUTED_VALUE"""),"JUSTICIA SOCIAL")</f>
        <v>JUSTICIA SOCIAL</v>
      </c>
      <c r="K120" s="13" t="s">
        <v>15</v>
      </c>
      <c r="L120" s="14" t="n">
        <v>5</v>
      </c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 customFormat="false" ht="15.75" hidden="false" customHeight="true" outlineLevel="0" collapsed="false">
      <c r="A121" s="5" t="s">
        <v>59</v>
      </c>
      <c r="B121" s="6" t="n">
        <v>25515509</v>
      </c>
      <c r="C121" s="7" t="s">
        <v>13</v>
      </c>
      <c r="D121" s="16" t="s">
        <v>14</v>
      </c>
      <c r="E121" s="12" t="str">
        <f aca="false">IFERROR(__xludf.dummyfunction("""COMPUTED_VALUE"""),"Mejuto Ivana")</f>
        <v>Mejuto Ivana</v>
      </c>
      <c r="F121" s="10" t="str">
        <f aca="false">IFERROR(__xludf.dummyfunction("""COMPUTED_VALUE"""),"Martes")</f>
        <v>Martes</v>
      </c>
      <c r="G121" s="11" t="n">
        <f aca="false">IFERROR(__xludf.dummyfunction("""COMPUTED_VALUE"""),0.333333333333333)</f>
        <v>0.333333333333333</v>
      </c>
      <c r="H121" s="11" t="n">
        <f aca="false">IFERROR(__xludf.dummyfunction("""COMPUTED_VALUE"""),0.5)</f>
        <v>0.5</v>
      </c>
      <c r="I121" s="12" t="str">
        <f aca="false">IFERROR(__xludf.dummyfunction("""COMPUTED_VALUE"""),"AULA JS-004-")</f>
        <v>AULA JS-004-</v>
      </c>
      <c r="J121" s="12" t="str">
        <f aca="false">IFERROR(__xludf.dummyfunction("""COMPUTED_VALUE"""),"JUSTICIA SOCIAL")</f>
        <v>JUSTICIA SOCIAL</v>
      </c>
      <c r="K121" s="13" t="s">
        <v>15</v>
      </c>
      <c r="L121" s="14" t="n">
        <v>5</v>
      </c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 customFormat="false" ht="15.75" hidden="false" customHeight="true" outlineLevel="0" collapsed="false">
      <c r="A122" s="5" t="s">
        <v>59</v>
      </c>
      <c r="B122" s="6" t="n">
        <v>25515509</v>
      </c>
      <c r="C122" s="7" t="s">
        <v>16</v>
      </c>
      <c r="D122" s="16" t="s">
        <v>14</v>
      </c>
      <c r="E122" s="12" t="str">
        <f aca="false">IFERROR(__xludf.dummyfunction("""COMPUTED_VALUE"""),"Ibañez Adela")</f>
        <v>Ibañez Adela</v>
      </c>
      <c r="F122" s="10" t="str">
        <f aca="false">IFERROR(__xludf.dummyfunction("""COMPUTED_VALUE"""),"Sábado")</f>
        <v>Sábado</v>
      </c>
      <c r="G122" s="11" t="n">
        <f aca="false">IFERROR(__xludf.dummyfunction("""COMPUTED_VALUE"""),0.375)</f>
        <v>0.375</v>
      </c>
      <c r="H122" s="11" t="n">
        <f aca="false">IFERROR(__xludf.dummyfunction("""COMPUTED_VALUE"""),0.541666666666666)</f>
        <v>0.541666666666666</v>
      </c>
      <c r="I122" s="12" t="str">
        <f aca="false">IFERROR(__xludf.dummyfunction("""COMPUTED_VALUE"""),"AULA JS-004-")</f>
        <v>AULA JS-004-</v>
      </c>
      <c r="J122" s="12" t="str">
        <f aca="false">IFERROR(__xludf.dummyfunction("""COMPUTED_VALUE"""),"JUSTICIA SOCIAL")</f>
        <v>JUSTICIA SOCIAL</v>
      </c>
      <c r="K122" s="13" t="s">
        <v>15</v>
      </c>
      <c r="L122" s="14" t="n">
        <v>5</v>
      </c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 customFormat="false" ht="15.75" hidden="false" customHeight="true" outlineLevel="0" collapsed="false">
      <c r="A123" s="5" t="s">
        <v>60</v>
      </c>
      <c r="B123" s="6" t="n">
        <v>43532667</v>
      </c>
      <c r="C123" s="17" t="s">
        <v>17</v>
      </c>
      <c r="D123" s="16" t="s">
        <v>14</v>
      </c>
      <c r="E123" s="12" t="str">
        <f aca="false">IFERROR(__xludf.dummyfunction("""COMPUTED_VALUE"""),"Mannocchi Valentina")</f>
        <v>Mannocchi Valentina</v>
      </c>
      <c r="F123" s="10" t="str">
        <f aca="false">IFERROR(__xludf.dummyfunction("""COMPUTED_VALUE"""),"Jueves")</f>
        <v>Jueves</v>
      </c>
      <c r="G123" s="11" t="n">
        <f aca="false">IFERROR(__xludf.dummyfunction("""COMPUTED_VALUE"""),0.333333333333333)</f>
        <v>0.333333333333333</v>
      </c>
      <c r="H123" s="11" t="n">
        <f aca="false">IFERROR(__xludf.dummyfunction("""COMPUTED_VALUE"""),0.5)</f>
        <v>0.5</v>
      </c>
      <c r="I123" s="12" t="str">
        <f aca="false">IFERROR(__xludf.dummyfunction("""COMPUTED_VALUE"""),"AULA JS-004-")</f>
        <v>AULA JS-004-</v>
      </c>
      <c r="J123" s="12" t="str">
        <f aca="false">IFERROR(__xludf.dummyfunction("""COMPUTED_VALUE"""),"JUSTICIA SOCIAL")</f>
        <v>JUSTICIA SOCIAL</v>
      </c>
      <c r="K123" s="13" t="s">
        <v>15</v>
      </c>
      <c r="L123" s="14" t="n">
        <v>5</v>
      </c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 customFormat="false" ht="15.75" hidden="false" customHeight="true" outlineLevel="0" collapsed="false">
      <c r="A124" s="5" t="s">
        <v>60</v>
      </c>
      <c r="B124" s="6" t="n">
        <v>43532667</v>
      </c>
      <c r="C124" s="7" t="s">
        <v>13</v>
      </c>
      <c r="D124" s="16" t="s">
        <v>14</v>
      </c>
      <c r="E124" s="12" t="str">
        <f aca="false">IFERROR(__xludf.dummyfunction("""COMPUTED_VALUE"""),"Mejuto Ivana")</f>
        <v>Mejuto Ivana</v>
      </c>
      <c r="F124" s="10" t="str">
        <f aca="false">IFERROR(__xludf.dummyfunction("""COMPUTED_VALUE"""),"Martes")</f>
        <v>Martes</v>
      </c>
      <c r="G124" s="11" t="n">
        <f aca="false">IFERROR(__xludf.dummyfunction("""COMPUTED_VALUE"""),0.333333333333333)</f>
        <v>0.333333333333333</v>
      </c>
      <c r="H124" s="11" t="n">
        <f aca="false">IFERROR(__xludf.dummyfunction("""COMPUTED_VALUE"""),0.5)</f>
        <v>0.5</v>
      </c>
      <c r="I124" s="12" t="str">
        <f aca="false">IFERROR(__xludf.dummyfunction("""COMPUTED_VALUE"""),"AULA JS-004-")</f>
        <v>AULA JS-004-</v>
      </c>
      <c r="J124" s="12" t="str">
        <f aca="false">IFERROR(__xludf.dummyfunction("""COMPUTED_VALUE"""),"JUSTICIA SOCIAL")</f>
        <v>JUSTICIA SOCIAL</v>
      </c>
      <c r="K124" s="13" t="s">
        <v>15</v>
      </c>
      <c r="L124" s="14" t="n">
        <v>5</v>
      </c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</row>
    <row r="125" customFormat="false" ht="15.75" hidden="false" customHeight="true" outlineLevel="0" collapsed="false">
      <c r="A125" s="5" t="s">
        <v>60</v>
      </c>
      <c r="B125" s="6" t="n">
        <v>43532667</v>
      </c>
      <c r="C125" s="7" t="s">
        <v>16</v>
      </c>
      <c r="D125" s="16" t="s">
        <v>14</v>
      </c>
      <c r="E125" s="12" t="str">
        <f aca="false">IFERROR(__xludf.dummyfunction("""COMPUTED_VALUE"""),"Ibañez Adela")</f>
        <v>Ibañez Adela</v>
      </c>
      <c r="F125" s="10" t="str">
        <f aca="false">IFERROR(__xludf.dummyfunction("""COMPUTED_VALUE"""),"Sábado")</f>
        <v>Sábado</v>
      </c>
      <c r="G125" s="11" t="n">
        <f aca="false">IFERROR(__xludf.dummyfunction("""COMPUTED_VALUE"""),0.375)</f>
        <v>0.375</v>
      </c>
      <c r="H125" s="11" t="n">
        <f aca="false">IFERROR(__xludf.dummyfunction("""COMPUTED_VALUE"""),0.541666666666666)</f>
        <v>0.541666666666666</v>
      </c>
      <c r="I125" s="12" t="str">
        <f aca="false">IFERROR(__xludf.dummyfunction("""COMPUTED_VALUE"""),"AULA JS-004-")</f>
        <v>AULA JS-004-</v>
      </c>
      <c r="J125" s="12" t="str">
        <f aca="false">IFERROR(__xludf.dummyfunction("""COMPUTED_VALUE"""),"JUSTICIA SOCIAL")</f>
        <v>JUSTICIA SOCIAL</v>
      </c>
      <c r="K125" s="13" t="s">
        <v>15</v>
      </c>
      <c r="L125" s="14" t="n">
        <v>5</v>
      </c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</row>
    <row r="126" customFormat="false" ht="15.75" hidden="false" customHeight="true" outlineLevel="0" collapsed="false">
      <c r="A126" s="5" t="s">
        <v>61</v>
      </c>
      <c r="B126" s="6" t="n">
        <v>28162895</v>
      </c>
      <c r="C126" s="17" t="s">
        <v>17</v>
      </c>
      <c r="D126" s="16" t="s">
        <v>14</v>
      </c>
      <c r="E126" s="12" t="str">
        <f aca="false">IFERROR(__xludf.dummyfunction("""COMPUTED_VALUE"""),"Mannocchi Valentina")</f>
        <v>Mannocchi Valentina</v>
      </c>
      <c r="F126" s="10" t="str">
        <f aca="false">IFERROR(__xludf.dummyfunction("""COMPUTED_VALUE"""),"Jueves")</f>
        <v>Jueves</v>
      </c>
      <c r="G126" s="11" t="n">
        <f aca="false">IFERROR(__xludf.dummyfunction("""COMPUTED_VALUE"""),0.333333333333333)</f>
        <v>0.333333333333333</v>
      </c>
      <c r="H126" s="11" t="n">
        <f aca="false">IFERROR(__xludf.dummyfunction("""COMPUTED_VALUE"""),0.5)</f>
        <v>0.5</v>
      </c>
      <c r="I126" s="12" t="str">
        <f aca="false">IFERROR(__xludf.dummyfunction("""COMPUTED_VALUE"""),"AULA JS-004-")</f>
        <v>AULA JS-004-</v>
      </c>
      <c r="J126" s="12" t="str">
        <f aca="false">IFERROR(__xludf.dummyfunction("""COMPUTED_VALUE"""),"JUSTICIA SOCIAL")</f>
        <v>JUSTICIA SOCIAL</v>
      </c>
      <c r="K126" s="13" t="s">
        <v>15</v>
      </c>
      <c r="L126" s="14" t="n">
        <v>5</v>
      </c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 customFormat="false" ht="15.75" hidden="false" customHeight="true" outlineLevel="0" collapsed="false">
      <c r="A127" s="5" t="s">
        <v>61</v>
      </c>
      <c r="B127" s="6" t="n">
        <v>28162895</v>
      </c>
      <c r="C127" s="7" t="s">
        <v>13</v>
      </c>
      <c r="D127" s="16" t="s">
        <v>14</v>
      </c>
      <c r="E127" s="12" t="str">
        <f aca="false">IFERROR(__xludf.dummyfunction("""COMPUTED_VALUE"""),"Mejuto Ivana")</f>
        <v>Mejuto Ivana</v>
      </c>
      <c r="F127" s="10" t="str">
        <f aca="false">IFERROR(__xludf.dummyfunction("""COMPUTED_VALUE"""),"Martes")</f>
        <v>Martes</v>
      </c>
      <c r="G127" s="11" t="n">
        <f aca="false">IFERROR(__xludf.dummyfunction("""COMPUTED_VALUE"""),0.333333333333333)</f>
        <v>0.333333333333333</v>
      </c>
      <c r="H127" s="11" t="n">
        <f aca="false">IFERROR(__xludf.dummyfunction("""COMPUTED_VALUE"""),0.5)</f>
        <v>0.5</v>
      </c>
      <c r="I127" s="12" t="str">
        <f aca="false">IFERROR(__xludf.dummyfunction("""COMPUTED_VALUE"""),"AULA JS-004-")</f>
        <v>AULA JS-004-</v>
      </c>
      <c r="J127" s="12" t="str">
        <f aca="false">IFERROR(__xludf.dummyfunction("""COMPUTED_VALUE"""),"JUSTICIA SOCIAL")</f>
        <v>JUSTICIA SOCIAL</v>
      </c>
      <c r="K127" s="13" t="s">
        <v>15</v>
      </c>
      <c r="L127" s="14" t="n">
        <v>5</v>
      </c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</row>
    <row r="128" customFormat="false" ht="15.75" hidden="false" customHeight="true" outlineLevel="0" collapsed="false">
      <c r="A128" s="5" t="s">
        <v>61</v>
      </c>
      <c r="B128" s="6" t="n">
        <v>28162895</v>
      </c>
      <c r="C128" s="7" t="s">
        <v>16</v>
      </c>
      <c r="D128" s="16" t="s">
        <v>14</v>
      </c>
      <c r="E128" s="12" t="str">
        <f aca="false">IFERROR(__xludf.dummyfunction("""COMPUTED_VALUE"""),"Ibañez Adela")</f>
        <v>Ibañez Adela</v>
      </c>
      <c r="F128" s="10" t="str">
        <f aca="false">IFERROR(__xludf.dummyfunction("""COMPUTED_VALUE"""),"Sábado")</f>
        <v>Sábado</v>
      </c>
      <c r="G128" s="11" t="n">
        <f aca="false">IFERROR(__xludf.dummyfunction("""COMPUTED_VALUE"""),0.375)</f>
        <v>0.375</v>
      </c>
      <c r="H128" s="11" t="n">
        <f aca="false">IFERROR(__xludf.dummyfunction("""COMPUTED_VALUE"""),0.541666666666666)</f>
        <v>0.541666666666666</v>
      </c>
      <c r="I128" s="12" t="str">
        <f aca="false">IFERROR(__xludf.dummyfunction("""COMPUTED_VALUE"""),"AULA JS-004-")</f>
        <v>AULA JS-004-</v>
      </c>
      <c r="J128" s="12" t="str">
        <f aca="false">IFERROR(__xludf.dummyfunction("""COMPUTED_VALUE"""),"JUSTICIA SOCIAL")</f>
        <v>JUSTICIA SOCIAL</v>
      </c>
      <c r="K128" s="13" t="s">
        <v>15</v>
      </c>
      <c r="L128" s="14" t="n">
        <v>5</v>
      </c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</row>
    <row r="129" customFormat="false" ht="15.75" hidden="false" customHeight="true" outlineLevel="0" collapsed="false">
      <c r="A129" s="5" t="s">
        <v>62</v>
      </c>
      <c r="B129" s="6" t="n">
        <v>35491409</v>
      </c>
      <c r="C129" s="17" t="s">
        <v>17</v>
      </c>
      <c r="D129" s="16" t="s">
        <v>14</v>
      </c>
      <c r="E129" s="12" t="str">
        <f aca="false">IFERROR(__xludf.dummyfunction("""COMPUTED_VALUE"""),"Mannocchi Valentina")</f>
        <v>Mannocchi Valentina</v>
      </c>
      <c r="F129" s="10" t="str">
        <f aca="false">IFERROR(__xludf.dummyfunction("""COMPUTED_VALUE"""),"Jueves")</f>
        <v>Jueves</v>
      </c>
      <c r="G129" s="11" t="n">
        <f aca="false">IFERROR(__xludf.dummyfunction("""COMPUTED_VALUE"""),0.333333333333333)</f>
        <v>0.333333333333333</v>
      </c>
      <c r="H129" s="11" t="n">
        <f aca="false">IFERROR(__xludf.dummyfunction("""COMPUTED_VALUE"""),0.5)</f>
        <v>0.5</v>
      </c>
      <c r="I129" s="12" t="str">
        <f aca="false">IFERROR(__xludf.dummyfunction("""COMPUTED_VALUE"""),"AULA JS-004-")</f>
        <v>AULA JS-004-</v>
      </c>
      <c r="J129" s="12" t="str">
        <f aca="false">IFERROR(__xludf.dummyfunction("""COMPUTED_VALUE"""),"JUSTICIA SOCIAL")</f>
        <v>JUSTICIA SOCIAL</v>
      </c>
      <c r="K129" s="13" t="s">
        <v>15</v>
      </c>
      <c r="L129" s="14" t="n">
        <v>5</v>
      </c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</row>
    <row r="130" customFormat="false" ht="15.75" hidden="false" customHeight="true" outlineLevel="0" collapsed="false">
      <c r="A130" s="5" t="s">
        <v>62</v>
      </c>
      <c r="B130" s="6" t="n">
        <v>35491409</v>
      </c>
      <c r="C130" s="7" t="s">
        <v>13</v>
      </c>
      <c r="D130" s="16" t="s">
        <v>14</v>
      </c>
      <c r="E130" s="12" t="str">
        <f aca="false">IFERROR(__xludf.dummyfunction("""COMPUTED_VALUE"""),"Mejuto Ivana")</f>
        <v>Mejuto Ivana</v>
      </c>
      <c r="F130" s="10" t="str">
        <f aca="false">IFERROR(__xludf.dummyfunction("""COMPUTED_VALUE"""),"Martes")</f>
        <v>Martes</v>
      </c>
      <c r="G130" s="11" t="n">
        <f aca="false">IFERROR(__xludf.dummyfunction("""COMPUTED_VALUE"""),0.333333333333333)</f>
        <v>0.333333333333333</v>
      </c>
      <c r="H130" s="11" t="n">
        <f aca="false">IFERROR(__xludf.dummyfunction("""COMPUTED_VALUE"""),0.5)</f>
        <v>0.5</v>
      </c>
      <c r="I130" s="12" t="str">
        <f aca="false">IFERROR(__xludf.dummyfunction("""COMPUTED_VALUE"""),"AULA JS-004-")</f>
        <v>AULA JS-004-</v>
      </c>
      <c r="J130" s="12" t="str">
        <f aca="false">IFERROR(__xludf.dummyfunction("""COMPUTED_VALUE"""),"JUSTICIA SOCIAL")</f>
        <v>JUSTICIA SOCIAL</v>
      </c>
      <c r="K130" s="13" t="s">
        <v>15</v>
      </c>
      <c r="L130" s="14" t="n">
        <v>5</v>
      </c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 customFormat="false" ht="15.75" hidden="false" customHeight="true" outlineLevel="0" collapsed="false">
      <c r="A131" s="5" t="s">
        <v>62</v>
      </c>
      <c r="B131" s="6" t="n">
        <v>35491409</v>
      </c>
      <c r="C131" s="7" t="s">
        <v>16</v>
      </c>
      <c r="D131" s="16" t="s">
        <v>14</v>
      </c>
      <c r="E131" s="12" t="str">
        <f aca="false">IFERROR(__xludf.dummyfunction("""COMPUTED_VALUE"""),"Ibañez Adela")</f>
        <v>Ibañez Adela</v>
      </c>
      <c r="F131" s="10" t="str">
        <f aca="false">IFERROR(__xludf.dummyfunction("""COMPUTED_VALUE"""),"Sábado")</f>
        <v>Sábado</v>
      </c>
      <c r="G131" s="11" t="n">
        <f aca="false">IFERROR(__xludf.dummyfunction("""COMPUTED_VALUE"""),0.375)</f>
        <v>0.375</v>
      </c>
      <c r="H131" s="11" t="n">
        <f aca="false">IFERROR(__xludf.dummyfunction("""COMPUTED_VALUE"""),0.541666666666666)</f>
        <v>0.541666666666666</v>
      </c>
      <c r="I131" s="12" t="str">
        <f aca="false">IFERROR(__xludf.dummyfunction("""COMPUTED_VALUE"""),"AULA JS-004-")</f>
        <v>AULA JS-004-</v>
      </c>
      <c r="J131" s="12" t="str">
        <f aca="false">IFERROR(__xludf.dummyfunction("""COMPUTED_VALUE"""),"JUSTICIA SOCIAL")</f>
        <v>JUSTICIA SOCIAL</v>
      </c>
      <c r="K131" s="13" t="s">
        <v>15</v>
      </c>
      <c r="L131" s="14" t="n">
        <v>5</v>
      </c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 customFormat="false" ht="15.75" hidden="false" customHeight="true" outlineLevel="0" collapsed="false">
      <c r="A132" s="5" t="s">
        <v>63</v>
      </c>
      <c r="B132" s="6" t="n">
        <v>35341910</v>
      </c>
      <c r="C132" s="17" t="s">
        <v>17</v>
      </c>
      <c r="D132" s="16" t="s">
        <v>14</v>
      </c>
      <c r="E132" s="12" t="str">
        <f aca="false">IFERROR(__xludf.dummyfunction("""COMPUTED_VALUE"""),"Mannocchi Valentina")</f>
        <v>Mannocchi Valentina</v>
      </c>
      <c r="F132" s="10" t="str">
        <f aca="false">IFERROR(__xludf.dummyfunction("""COMPUTED_VALUE"""),"Jueves")</f>
        <v>Jueves</v>
      </c>
      <c r="G132" s="11" t="n">
        <f aca="false">IFERROR(__xludf.dummyfunction("""COMPUTED_VALUE"""),0.333333333333333)</f>
        <v>0.333333333333333</v>
      </c>
      <c r="H132" s="11" t="n">
        <f aca="false">IFERROR(__xludf.dummyfunction("""COMPUTED_VALUE"""),0.5)</f>
        <v>0.5</v>
      </c>
      <c r="I132" s="12" t="str">
        <f aca="false">IFERROR(__xludf.dummyfunction("""COMPUTED_VALUE"""),"AULA JS-004-")</f>
        <v>AULA JS-004-</v>
      </c>
      <c r="J132" s="12" t="str">
        <f aca="false">IFERROR(__xludf.dummyfunction("""COMPUTED_VALUE"""),"JUSTICIA SOCIAL")</f>
        <v>JUSTICIA SOCIAL</v>
      </c>
      <c r="K132" s="13" t="s">
        <v>15</v>
      </c>
      <c r="L132" s="14" t="n">
        <v>5</v>
      </c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</row>
    <row r="133" customFormat="false" ht="15.75" hidden="false" customHeight="true" outlineLevel="0" collapsed="false">
      <c r="A133" s="5" t="s">
        <v>63</v>
      </c>
      <c r="B133" s="6" t="n">
        <v>35341910</v>
      </c>
      <c r="C133" s="7" t="s">
        <v>13</v>
      </c>
      <c r="D133" s="16" t="s">
        <v>14</v>
      </c>
      <c r="E133" s="12" t="str">
        <f aca="false">IFERROR(__xludf.dummyfunction("""COMPUTED_VALUE"""),"Mejuto Ivana")</f>
        <v>Mejuto Ivana</v>
      </c>
      <c r="F133" s="10" t="str">
        <f aca="false">IFERROR(__xludf.dummyfunction("""COMPUTED_VALUE"""),"Martes")</f>
        <v>Martes</v>
      </c>
      <c r="G133" s="11" t="n">
        <f aca="false">IFERROR(__xludf.dummyfunction("""COMPUTED_VALUE"""),0.333333333333333)</f>
        <v>0.333333333333333</v>
      </c>
      <c r="H133" s="11" t="n">
        <f aca="false">IFERROR(__xludf.dummyfunction("""COMPUTED_VALUE"""),0.5)</f>
        <v>0.5</v>
      </c>
      <c r="I133" s="12" t="str">
        <f aca="false">IFERROR(__xludf.dummyfunction("""COMPUTED_VALUE"""),"AULA JS-004-")</f>
        <v>AULA JS-004-</v>
      </c>
      <c r="J133" s="12" t="str">
        <f aca="false">IFERROR(__xludf.dummyfunction("""COMPUTED_VALUE"""),"JUSTICIA SOCIAL")</f>
        <v>JUSTICIA SOCIAL</v>
      </c>
      <c r="K133" s="13" t="s">
        <v>15</v>
      </c>
      <c r="L133" s="14" t="n">
        <v>5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</row>
    <row r="134" customFormat="false" ht="15.75" hidden="false" customHeight="true" outlineLevel="0" collapsed="false">
      <c r="A134" s="5" t="s">
        <v>63</v>
      </c>
      <c r="B134" s="6" t="n">
        <v>35341910</v>
      </c>
      <c r="C134" s="7" t="s">
        <v>16</v>
      </c>
      <c r="D134" s="16" t="s">
        <v>14</v>
      </c>
      <c r="E134" s="12" t="str">
        <f aca="false">IFERROR(__xludf.dummyfunction("""COMPUTED_VALUE"""),"Ibañez Adela")</f>
        <v>Ibañez Adela</v>
      </c>
      <c r="F134" s="10" t="str">
        <f aca="false">IFERROR(__xludf.dummyfunction("""COMPUTED_VALUE"""),"Sábado")</f>
        <v>Sábado</v>
      </c>
      <c r="G134" s="11" t="n">
        <f aca="false">IFERROR(__xludf.dummyfunction("""COMPUTED_VALUE"""),0.375)</f>
        <v>0.375</v>
      </c>
      <c r="H134" s="11" t="n">
        <f aca="false">IFERROR(__xludf.dummyfunction("""COMPUTED_VALUE"""),0.541666666666666)</f>
        <v>0.541666666666666</v>
      </c>
      <c r="I134" s="12" t="str">
        <f aca="false">IFERROR(__xludf.dummyfunction("""COMPUTED_VALUE"""),"AULA JS-004-")</f>
        <v>AULA JS-004-</v>
      </c>
      <c r="J134" s="12" t="str">
        <f aca="false">IFERROR(__xludf.dummyfunction("""COMPUTED_VALUE"""),"JUSTICIA SOCIAL")</f>
        <v>JUSTICIA SOCIAL</v>
      </c>
      <c r="K134" s="13" t="s">
        <v>15</v>
      </c>
      <c r="L134" s="14" t="n">
        <v>4</v>
      </c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 customFormat="false" ht="15.75" hidden="false" customHeight="true" outlineLevel="0" collapsed="false">
      <c r="A135" s="5" t="s">
        <v>64</v>
      </c>
      <c r="B135" s="6" t="n">
        <v>24793975</v>
      </c>
      <c r="C135" s="17" t="s">
        <v>17</v>
      </c>
      <c r="D135" s="16" t="s">
        <v>14</v>
      </c>
      <c r="E135" s="12" t="str">
        <f aca="false">IFERROR(__xludf.dummyfunction("""COMPUTED_VALUE"""),"Mannocchi Valentina")</f>
        <v>Mannocchi Valentina</v>
      </c>
      <c r="F135" s="10" t="str">
        <f aca="false">IFERROR(__xludf.dummyfunction("""COMPUTED_VALUE"""),"Jueves")</f>
        <v>Jueves</v>
      </c>
      <c r="G135" s="11" t="n">
        <f aca="false">IFERROR(__xludf.dummyfunction("""COMPUTED_VALUE"""),0.333333333333333)</f>
        <v>0.333333333333333</v>
      </c>
      <c r="H135" s="11" t="n">
        <f aca="false">IFERROR(__xludf.dummyfunction("""COMPUTED_VALUE"""),0.5)</f>
        <v>0.5</v>
      </c>
      <c r="I135" s="12" t="str">
        <f aca="false">IFERROR(__xludf.dummyfunction("""COMPUTED_VALUE"""),"AULA JS-004-")</f>
        <v>AULA JS-004-</v>
      </c>
      <c r="J135" s="12" t="str">
        <f aca="false">IFERROR(__xludf.dummyfunction("""COMPUTED_VALUE"""),"JUSTICIA SOCIAL")</f>
        <v>JUSTICIA SOCIAL</v>
      </c>
      <c r="K135" s="13" t="s">
        <v>15</v>
      </c>
      <c r="L135" s="14" t="n">
        <v>4</v>
      </c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 customFormat="false" ht="15.75" hidden="false" customHeight="true" outlineLevel="0" collapsed="false">
      <c r="A136" s="5" t="s">
        <v>64</v>
      </c>
      <c r="B136" s="6" t="n">
        <v>24793975</v>
      </c>
      <c r="C136" s="7" t="s">
        <v>13</v>
      </c>
      <c r="D136" s="16" t="s">
        <v>14</v>
      </c>
      <c r="E136" s="12" t="str">
        <f aca="false">IFERROR(__xludf.dummyfunction("""COMPUTED_VALUE"""),"Mejuto Ivana")</f>
        <v>Mejuto Ivana</v>
      </c>
      <c r="F136" s="10" t="str">
        <f aca="false">IFERROR(__xludf.dummyfunction("""COMPUTED_VALUE"""),"Martes")</f>
        <v>Martes</v>
      </c>
      <c r="G136" s="11" t="n">
        <f aca="false">IFERROR(__xludf.dummyfunction("""COMPUTED_VALUE"""),0.333333333333333)</f>
        <v>0.333333333333333</v>
      </c>
      <c r="H136" s="11" t="n">
        <f aca="false">IFERROR(__xludf.dummyfunction("""COMPUTED_VALUE"""),0.5)</f>
        <v>0.5</v>
      </c>
      <c r="I136" s="12" t="str">
        <f aca="false">IFERROR(__xludf.dummyfunction("""COMPUTED_VALUE"""),"AULA JS-004-")</f>
        <v>AULA JS-004-</v>
      </c>
      <c r="J136" s="12" t="str">
        <f aca="false">IFERROR(__xludf.dummyfunction("""COMPUTED_VALUE"""),"JUSTICIA SOCIAL")</f>
        <v>JUSTICIA SOCIAL</v>
      </c>
      <c r="K136" s="13" t="s">
        <v>15</v>
      </c>
      <c r="L136" s="14" t="n">
        <v>4</v>
      </c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</row>
    <row r="137" customFormat="false" ht="15.75" hidden="false" customHeight="true" outlineLevel="0" collapsed="false">
      <c r="A137" s="5" t="s">
        <v>64</v>
      </c>
      <c r="B137" s="6" t="n">
        <v>24793975</v>
      </c>
      <c r="C137" s="7" t="s">
        <v>16</v>
      </c>
      <c r="D137" s="16" t="s">
        <v>14</v>
      </c>
      <c r="E137" s="12" t="str">
        <f aca="false">IFERROR(__xludf.dummyfunction("""COMPUTED_VALUE"""),"Ibañez Adela")</f>
        <v>Ibañez Adela</v>
      </c>
      <c r="F137" s="10" t="str">
        <f aca="false">IFERROR(__xludf.dummyfunction("""COMPUTED_VALUE"""),"Sábado")</f>
        <v>Sábado</v>
      </c>
      <c r="G137" s="11" t="n">
        <f aca="false">IFERROR(__xludf.dummyfunction("""COMPUTED_VALUE"""),0.375)</f>
        <v>0.375</v>
      </c>
      <c r="H137" s="11" t="n">
        <f aca="false">IFERROR(__xludf.dummyfunction("""COMPUTED_VALUE"""),0.541666666666666)</f>
        <v>0.541666666666666</v>
      </c>
      <c r="I137" s="12" t="str">
        <f aca="false">IFERROR(__xludf.dummyfunction("""COMPUTED_VALUE"""),"AULA JS-004-")</f>
        <v>AULA JS-004-</v>
      </c>
      <c r="J137" s="12" t="str">
        <f aca="false">IFERROR(__xludf.dummyfunction("""COMPUTED_VALUE"""),"JUSTICIA SOCIAL")</f>
        <v>JUSTICIA SOCIAL</v>
      </c>
      <c r="K137" s="13" t="s">
        <v>15</v>
      </c>
      <c r="L137" s="14" t="n">
        <v>1</v>
      </c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 customFormat="false" ht="15.75" hidden="false" customHeight="true" outlineLevel="0" collapsed="false">
      <c r="A138" s="5" t="s">
        <v>65</v>
      </c>
      <c r="B138" s="6" t="n">
        <v>44906415</v>
      </c>
      <c r="C138" s="17" t="s">
        <v>17</v>
      </c>
      <c r="D138" s="16" t="s">
        <v>14</v>
      </c>
      <c r="E138" s="12" t="str">
        <f aca="false">IFERROR(__xludf.dummyfunction("""COMPUTED_VALUE"""),"Mannocchi Valentina")</f>
        <v>Mannocchi Valentina</v>
      </c>
      <c r="F138" s="10" t="str">
        <f aca="false">IFERROR(__xludf.dummyfunction("""COMPUTED_VALUE"""),"Jueves")</f>
        <v>Jueves</v>
      </c>
      <c r="G138" s="11" t="n">
        <f aca="false">IFERROR(__xludf.dummyfunction("""COMPUTED_VALUE"""),0.333333333333333)</f>
        <v>0.333333333333333</v>
      </c>
      <c r="H138" s="11" t="n">
        <f aca="false">IFERROR(__xludf.dummyfunction("""COMPUTED_VALUE"""),0.5)</f>
        <v>0.5</v>
      </c>
      <c r="I138" s="12" t="str">
        <f aca="false">IFERROR(__xludf.dummyfunction("""COMPUTED_VALUE"""),"AULA JS-004-")</f>
        <v>AULA JS-004-</v>
      </c>
      <c r="J138" s="12" t="str">
        <f aca="false">IFERROR(__xludf.dummyfunction("""COMPUTED_VALUE"""),"JUSTICIA SOCIAL")</f>
        <v>JUSTICIA SOCIAL</v>
      </c>
      <c r="K138" s="13" t="s">
        <v>15</v>
      </c>
      <c r="L138" s="14" t="n">
        <v>1</v>
      </c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</row>
    <row r="139" customFormat="false" ht="15.75" hidden="false" customHeight="true" outlineLevel="0" collapsed="false">
      <c r="A139" s="5" t="s">
        <v>65</v>
      </c>
      <c r="B139" s="6" t="n">
        <v>44906415</v>
      </c>
      <c r="C139" s="7" t="s">
        <v>13</v>
      </c>
      <c r="D139" s="16" t="s">
        <v>14</v>
      </c>
      <c r="E139" s="12" t="str">
        <f aca="false">IFERROR(__xludf.dummyfunction("""COMPUTED_VALUE"""),"Mejuto Ivana")</f>
        <v>Mejuto Ivana</v>
      </c>
      <c r="F139" s="10" t="str">
        <f aca="false">IFERROR(__xludf.dummyfunction("""COMPUTED_VALUE"""),"Martes")</f>
        <v>Martes</v>
      </c>
      <c r="G139" s="11" t="n">
        <f aca="false">IFERROR(__xludf.dummyfunction("""COMPUTED_VALUE"""),0.333333333333333)</f>
        <v>0.333333333333333</v>
      </c>
      <c r="H139" s="11" t="n">
        <f aca="false">IFERROR(__xludf.dummyfunction("""COMPUTED_VALUE"""),0.5)</f>
        <v>0.5</v>
      </c>
      <c r="I139" s="12" t="str">
        <f aca="false">IFERROR(__xludf.dummyfunction("""COMPUTED_VALUE"""),"AULA JS-004-")</f>
        <v>AULA JS-004-</v>
      </c>
      <c r="J139" s="12" t="str">
        <f aca="false">IFERROR(__xludf.dummyfunction("""COMPUTED_VALUE"""),"JUSTICIA SOCIAL")</f>
        <v>JUSTICIA SOCIAL</v>
      </c>
      <c r="K139" s="13" t="s">
        <v>15</v>
      </c>
      <c r="L139" s="14" t="n">
        <v>1</v>
      </c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</row>
    <row r="140" customFormat="false" ht="15.75" hidden="false" customHeight="true" outlineLevel="0" collapsed="false">
      <c r="A140" s="5" t="s">
        <v>65</v>
      </c>
      <c r="B140" s="6" t="n">
        <v>44906415</v>
      </c>
      <c r="C140" s="7" t="s">
        <v>16</v>
      </c>
      <c r="D140" s="16" t="s">
        <v>14</v>
      </c>
      <c r="E140" s="12" t="str">
        <f aca="false">IFERROR(__xludf.dummyfunction("""COMPUTED_VALUE"""),"Ibañez Adela")</f>
        <v>Ibañez Adela</v>
      </c>
      <c r="F140" s="10" t="str">
        <f aca="false">IFERROR(__xludf.dummyfunction("""COMPUTED_VALUE"""),"Sábado")</f>
        <v>Sábado</v>
      </c>
      <c r="G140" s="11" t="n">
        <f aca="false">IFERROR(__xludf.dummyfunction("""COMPUTED_VALUE"""),0.375)</f>
        <v>0.375</v>
      </c>
      <c r="H140" s="11" t="n">
        <f aca="false">IFERROR(__xludf.dummyfunction("""COMPUTED_VALUE"""),0.541666666666666)</f>
        <v>0.541666666666666</v>
      </c>
      <c r="I140" s="12" t="str">
        <f aca="false">IFERROR(__xludf.dummyfunction("""COMPUTED_VALUE"""),"AULA JS-004-")</f>
        <v>AULA JS-004-</v>
      </c>
      <c r="J140" s="12" t="str">
        <f aca="false">IFERROR(__xludf.dummyfunction("""COMPUTED_VALUE"""),"JUSTICIA SOCIAL")</f>
        <v>JUSTICIA SOCIAL</v>
      </c>
      <c r="K140" s="13" t="s">
        <v>15</v>
      </c>
      <c r="L140" s="14" t="n">
        <v>5</v>
      </c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 customFormat="false" ht="15.75" hidden="false" customHeight="true" outlineLevel="0" collapsed="false">
      <c r="A141" s="5" t="s">
        <v>66</v>
      </c>
      <c r="B141" s="6" t="n">
        <v>33448091</v>
      </c>
      <c r="C141" s="17" t="s">
        <v>17</v>
      </c>
      <c r="D141" s="16" t="s">
        <v>14</v>
      </c>
      <c r="E141" s="12" t="str">
        <f aca="false">IFERROR(__xludf.dummyfunction("""COMPUTED_VALUE"""),"Mannocchi Valentina")</f>
        <v>Mannocchi Valentina</v>
      </c>
      <c r="F141" s="10" t="str">
        <f aca="false">IFERROR(__xludf.dummyfunction("""COMPUTED_VALUE"""),"Jueves")</f>
        <v>Jueves</v>
      </c>
      <c r="G141" s="11" t="n">
        <f aca="false">IFERROR(__xludf.dummyfunction("""COMPUTED_VALUE"""),0.333333333333333)</f>
        <v>0.333333333333333</v>
      </c>
      <c r="H141" s="11" t="n">
        <f aca="false">IFERROR(__xludf.dummyfunction("""COMPUTED_VALUE"""),0.5)</f>
        <v>0.5</v>
      </c>
      <c r="I141" s="12" t="str">
        <f aca="false">IFERROR(__xludf.dummyfunction("""COMPUTED_VALUE"""),"AULA JS-004-")</f>
        <v>AULA JS-004-</v>
      </c>
      <c r="J141" s="12" t="str">
        <f aca="false">IFERROR(__xludf.dummyfunction("""COMPUTED_VALUE"""),"JUSTICIA SOCIAL")</f>
        <v>JUSTICIA SOCIAL</v>
      </c>
      <c r="K141" s="13" t="s">
        <v>15</v>
      </c>
      <c r="L141" s="14" t="n">
        <v>5</v>
      </c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 customFormat="false" ht="15.75" hidden="false" customHeight="true" outlineLevel="0" collapsed="false">
      <c r="A142" s="5" t="s">
        <v>66</v>
      </c>
      <c r="B142" s="6" t="n">
        <v>33448091</v>
      </c>
      <c r="C142" s="7" t="s">
        <v>13</v>
      </c>
      <c r="D142" s="16" t="s">
        <v>14</v>
      </c>
      <c r="E142" s="12" t="str">
        <f aca="false">IFERROR(__xludf.dummyfunction("""COMPUTED_VALUE"""),"Mejuto Ivana")</f>
        <v>Mejuto Ivana</v>
      </c>
      <c r="F142" s="10" t="str">
        <f aca="false">IFERROR(__xludf.dummyfunction("""COMPUTED_VALUE"""),"Martes")</f>
        <v>Martes</v>
      </c>
      <c r="G142" s="11" t="n">
        <f aca="false">IFERROR(__xludf.dummyfunction("""COMPUTED_VALUE"""),0.333333333333333)</f>
        <v>0.333333333333333</v>
      </c>
      <c r="H142" s="11" t="n">
        <f aca="false">IFERROR(__xludf.dummyfunction("""COMPUTED_VALUE"""),0.5)</f>
        <v>0.5</v>
      </c>
      <c r="I142" s="12" t="str">
        <f aca="false">IFERROR(__xludf.dummyfunction("""COMPUTED_VALUE"""),"AULA JS-004-")</f>
        <v>AULA JS-004-</v>
      </c>
      <c r="J142" s="12" t="str">
        <f aca="false">IFERROR(__xludf.dummyfunction("""COMPUTED_VALUE"""),"JUSTICIA SOCIAL")</f>
        <v>JUSTICIA SOCIAL</v>
      </c>
      <c r="K142" s="13" t="s">
        <v>15</v>
      </c>
      <c r="L142" s="14" t="n">
        <v>5</v>
      </c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 customFormat="false" ht="15.75" hidden="false" customHeight="true" outlineLevel="0" collapsed="false">
      <c r="A143" s="5" t="s">
        <v>66</v>
      </c>
      <c r="B143" s="6" t="n">
        <v>33448091</v>
      </c>
      <c r="C143" s="7" t="s">
        <v>16</v>
      </c>
      <c r="D143" s="16" t="s">
        <v>14</v>
      </c>
      <c r="E143" s="12" t="str">
        <f aca="false">IFERROR(__xludf.dummyfunction("""COMPUTED_VALUE"""),"Ibañez Adela")</f>
        <v>Ibañez Adela</v>
      </c>
      <c r="F143" s="10" t="str">
        <f aca="false">IFERROR(__xludf.dummyfunction("""COMPUTED_VALUE"""),"Sábado")</f>
        <v>Sábado</v>
      </c>
      <c r="G143" s="11" t="n">
        <f aca="false">IFERROR(__xludf.dummyfunction("""COMPUTED_VALUE"""),0.375)</f>
        <v>0.375</v>
      </c>
      <c r="H143" s="11" t="n">
        <f aca="false">IFERROR(__xludf.dummyfunction("""COMPUTED_VALUE"""),0.541666666666666)</f>
        <v>0.541666666666666</v>
      </c>
      <c r="I143" s="12" t="str">
        <f aca="false">IFERROR(__xludf.dummyfunction("""COMPUTED_VALUE"""),"AULA JS-004-")</f>
        <v>AULA JS-004-</v>
      </c>
      <c r="J143" s="12" t="str">
        <f aca="false">IFERROR(__xludf.dummyfunction("""COMPUTED_VALUE"""),"JUSTICIA SOCIAL")</f>
        <v>JUSTICIA SOCIAL</v>
      </c>
      <c r="K143" s="13" t="s">
        <v>15</v>
      </c>
      <c r="L143" s="14" t="n">
        <v>5</v>
      </c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</row>
    <row r="144" customFormat="false" ht="15.75" hidden="false" customHeight="true" outlineLevel="0" collapsed="false">
      <c r="A144" s="5" t="s">
        <v>66</v>
      </c>
      <c r="B144" s="6" t="n">
        <v>32383888</v>
      </c>
      <c r="C144" s="17" t="s">
        <v>17</v>
      </c>
      <c r="D144" s="16" t="s">
        <v>14</v>
      </c>
      <c r="E144" s="12" t="str">
        <f aca="false">IFERROR(__xludf.dummyfunction("""COMPUTED_VALUE"""),"Mannocchi Valentina")</f>
        <v>Mannocchi Valentina</v>
      </c>
      <c r="F144" s="10" t="str">
        <f aca="false">IFERROR(__xludf.dummyfunction("""COMPUTED_VALUE"""),"Jueves")</f>
        <v>Jueves</v>
      </c>
      <c r="G144" s="11" t="n">
        <f aca="false">IFERROR(__xludf.dummyfunction("""COMPUTED_VALUE"""),0.333333333333333)</f>
        <v>0.333333333333333</v>
      </c>
      <c r="H144" s="11" t="n">
        <f aca="false">IFERROR(__xludf.dummyfunction("""COMPUTED_VALUE"""),0.5)</f>
        <v>0.5</v>
      </c>
      <c r="I144" s="12" t="str">
        <f aca="false">IFERROR(__xludf.dummyfunction("""COMPUTED_VALUE"""),"AULA JS-004-")</f>
        <v>AULA JS-004-</v>
      </c>
      <c r="J144" s="12" t="str">
        <f aca="false">IFERROR(__xludf.dummyfunction("""COMPUTED_VALUE"""),"JUSTICIA SOCIAL")</f>
        <v>JUSTICIA SOCIAL</v>
      </c>
      <c r="K144" s="13" t="s">
        <v>15</v>
      </c>
      <c r="L144" s="14" t="n">
        <v>5</v>
      </c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</row>
    <row r="145" customFormat="false" ht="15.75" hidden="false" customHeight="true" outlineLevel="0" collapsed="false">
      <c r="A145" s="5" t="s">
        <v>67</v>
      </c>
      <c r="B145" s="6" t="n">
        <v>37914805</v>
      </c>
      <c r="C145" s="7" t="s">
        <v>13</v>
      </c>
      <c r="D145" s="16" t="s">
        <v>14</v>
      </c>
      <c r="E145" s="12" t="str">
        <f aca="false">IFERROR(__xludf.dummyfunction("""COMPUTED_VALUE"""),"Mejuto Ivana")</f>
        <v>Mejuto Ivana</v>
      </c>
      <c r="F145" s="10" t="str">
        <f aca="false">IFERROR(__xludf.dummyfunction("""COMPUTED_VALUE"""),"Martes")</f>
        <v>Martes</v>
      </c>
      <c r="G145" s="11" t="n">
        <f aca="false">IFERROR(__xludf.dummyfunction("""COMPUTED_VALUE"""),0.333333333333333)</f>
        <v>0.333333333333333</v>
      </c>
      <c r="H145" s="11" t="n">
        <f aca="false">IFERROR(__xludf.dummyfunction("""COMPUTED_VALUE"""),0.5)</f>
        <v>0.5</v>
      </c>
      <c r="I145" s="12" t="str">
        <f aca="false">IFERROR(__xludf.dummyfunction("""COMPUTED_VALUE"""),"AULA JS-004-")</f>
        <v>AULA JS-004-</v>
      </c>
      <c r="J145" s="12" t="str">
        <f aca="false">IFERROR(__xludf.dummyfunction("""COMPUTED_VALUE"""),"JUSTICIA SOCIAL")</f>
        <v>JUSTICIA SOCIAL</v>
      </c>
      <c r="K145" s="13" t="s">
        <v>15</v>
      </c>
      <c r="L145" s="14" t="n">
        <v>5</v>
      </c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</row>
    <row r="146" customFormat="false" ht="15.75" hidden="false" customHeight="true" outlineLevel="0" collapsed="false">
      <c r="A146" s="5" t="s">
        <v>67</v>
      </c>
      <c r="B146" s="6" t="n">
        <v>37914805</v>
      </c>
      <c r="C146" s="7" t="s">
        <v>16</v>
      </c>
      <c r="D146" s="16" t="s">
        <v>14</v>
      </c>
      <c r="E146" s="12" t="str">
        <f aca="false">IFERROR(__xludf.dummyfunction("""COMPUTED_VALUE"""),"Ibañez Adela")</f>
        <v>Ibañez Adela</v>
      </c>
      <c r="F146" s="10" t="str">
        <f aca="false">IFERROR(__xludf.dummyfunction("""COMPUTED_VALUE"""),"Sábado")</f>
        <v>Sábado</v>
      </c>
      <c r="G146" s="11" t="n">
        <f aca="false">IFERROR(__xludf.dummyfunction("""COMPUTED_VALUE"""),0.375)</f>
        <v>0.375</v>
      </c>
      <c r="H146" s="11" t="n">
        <f aca="false">IFERROR(__xludf.dummyfunction("""COMPUTED_VALUE"""),0.541666666666666)</f>
        <v>0.541666666666666</v>
      </c>
      <c r="I146" s="12" t="str">
        <f aca="false">IFERROR(__xludf.dummyfunction("""COMPUTED_VALUE"""),"AULA JS-004-")</f>
        <v>AULA JS-004-</v>
      </c>
      <c r="J146" s="12" t="str">
        <f aca="false">IFERROR(__xludf.dummyfunction("""COMPUTED_VALUE"""),"JUSTICIA SOCIAL")</f>
        <v>JUSTICIA SOCIAL</v>
      </c>
      <c r="K146" s="13" t="s">
        <v>15</v>
      </c>
      <c r="L146" s="14" t="n">
        <v>5</v>
      </c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</row>
    <row r="147" customFormat="false" ht="15.75" hidden="false" customHeight="true" outlineLevel="0" collapsed="false">
      <c r="A147" s="5" t="s">
        <v>67</v>
      </c>
      <c r="B147" s="6" t="n">
        <v>37914805</v>
      </c>
      <c r="C147" s="17" t="s">
        <v>17</v>
      </c>
      <c r="D147" s="16" t="s">
        <v>14</v>
      </c>
      <c r="E147" s="12" t="str">
        <f aca="false">IFERROR(__xludf.dummyfunction("""COMPUTED_VALUE"""),"Mannocchi Valentina")</f>
        <v>Mannocchi Valentina</v>
      </c>
      <c r="F147" s="10" t="str">
        <f aca="false">IFERROR(__xludf.dummyfunction("""COMPUTED_VALUE"""),"Jueves")</f>
        <v>Jueves</v>
      </c>
      <c r="G147" s="11" t="n">
        <f aca="false">IFERROR(__xludf.dummyfunction("""COMPUTED_VALUE"""),0.333333333333333)</f>
        <v>0.333333333333333</v>
      </c>
      <c r="H147" s="11" t="n">
        <f aca="false">IFERROR(__xludf.dummyfunction("""COMPUTED_VALUE"""),0.5)</f>
        <v>0.5</v>
      </c>
      <c r="I147" s="12" t="str">
        <f aca="false">IFERROR(__xludf.dummyfunction("""COMPUTED_VALUE"""),"AULA JS-004-")</f>
        <v>AULA JS-004-</v>
      </c>
      <c r="J147" s="12" t="str">
        <f aca="false">IFERROR(__xludf.dummyfunction("""COMPUTED_VALUE"""),"JUSTICIA SOCIAL")</f>
        <v>JUSTICIA SOCIAL</v>
      </c>
      <c r="K147" s="13" t="s">
        <v>15</v>
      </c>
      <c r="L147" s="14" t="n">
        <v>5</v>
      </c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 customFormat="false" ht="15.75" hidden="false" customHeight="true" outlineLevel="0" collapsed="false">
      <c r="A148" s="5" t="s">
        <v>68</v>
      </c>
      <c r="B148" s="6" t="n">
        <v>28068907</v>
      </c>
      <c r="C148" s="7" t="s">
        <v>13</v>
      </c>
      <c r="D148" s="16" t="s">
        <v>14</v>
      </c>
      <c r="E148" s="12" t="str">
        <f aca="false">IFERROR(__xludf.dummyfunction("""COMPUTED_VALUE"""),"Mejuto Ivana")</f>
        <v>Mejuto Ivana</v>
      </c>
      <c r="F148" s="10" t="str">
        <f aca="false">IFERROR(__xludf.dummyfunction("""COMPUTED_VALUE"""),"Martes")</f>
        <v>Martes</v>
      </c>
      <c r="G148" s="11" t="n">
        <f aca="false">IFERROR(__xludf.dummyfunction("""COMPUTED_VALUE"""),0.333333333333333)</f>
        <v>0.333333333333333</v>
      </c>
      <c r="H148" s="11" t="n">
        <f aca="false">IFERROR(__xludf.dummyfunction("""COMPUTED_VALUE"""),0.5)</f>
        <v>0.5</v>
      </c>
      <c r="I148" s="12" t="str">
        <f aca="false">IFERROR(__xludf.dummyfunction("""COMPUTED_VALUE"""),"AULA JS-004-")</f>
        <v>AULA JS-004-</v>
      </c>
      <c r="J148" s="12" t="str">
        <f aca="false">IFERROR(__xludf.dummyfunction("""COMPUTED_VALUE"""),"JUSTICIA SOCIAL")</f>
        <v>JUSTICIA SOCIAL</v>
      </c>
      <c r="K148" s="13" t="s">
        <v>15</v>
      </c>
      <c r="L148" s="14" t="n">
        <v>5</v>
      </c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</row>
    <row r="149" customFormat="false" ht="15.75" hidden="false" customHeight="true" outlineLevel="0" collapsed="false">
      <c r="A149" s="5" t="s">
        <v>68</v>
      </c>
      <c r="B149" s="6" t="n">
        <v>28068907</v>
      </c>
      <c r="C149" s="7" t="s">
        <v>16</v>
      </c>
      <c r="D149" s="16" t="s">
        <v>14</v>
      </c>
      <c r="E149" s="12" t="str">
        <f aca="false">IFERROR(__xludf.dummyfunction("""COMPUTED_VALUE"""),"Ibañez Adela")</f>
        <v>Ibañez Adela</v>
      </c>
      <c r="F149" s="10" t="str">
        <f aca="false">IFERROR(__xludf.dummyfunction("""COMPUTED_VALUE"""),"Sábado")</f>
        <v>Sábado</v>
      </c>
      <c r="G149" s="11" t="n">
        <f aca="false">IFERROR(__xludf.dummyfunction("""COMPUTED_VALUE"""),0.375)</f>
        <v>0.375</v>
      </c>
      <c r="H149" s="11" t="n">
        <f aca="false">IFERROR(__xludf.dummyfunction("""COMPUTED_VALUE"""),0.541666666666666)</f>
        <v>0.541666666666666</v>
      </c>
      <c r="I149" s="12" t="str">
        <f aca="false">IFERROR(__xludf.dummyfunction("""COMPUTED_VALUE"""),"AULA JS-004-")</f>
        <v>AULA JS-004-</v>
      </c>
      <c r="J149" s="12" t="str">
        <f aca="false">IFERROR(__xludf.dummyfunction("""COMPUTED_VALUE"""),"JUSTICIA SOCIAL")</f>
        <v>JUSTICIA SOCIAL</v>
      </c>
      <c r="K149" s="13" t="s">
        <v>15</v>
      </c>
      <c r="L149" s="14" t="n">
        <v>5</v>
      </c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 customFormat="false" ht="15.75" hidden="false" customHeight="true" outlineLevel="0" collapsed="false">
      <c r="A150" s="5" t="s">
        <v>68</v>
      </c>
      <c r="B150" s="6" t="n">
        <v>28068907</v>
      </c>
      <c r="C150" s="17" t="s">
        <v>17</v>
      </c>
      <c r="D150" s="16" t="s">
        <v>14</v>
      </c>
      <c r="E150" s="12" t="str">
        <f aca="false">IFERROR(__xludf.dummyfunction("""COMPUTED_VALUE"""),"Mannocchi Valentina")</f>
        <v>Mannocchi Valentina</v>
      </c>
      <c r="F150" s="10" t="str">
        <f aca="false">IFERROR(__xludf.dummyfunction("""COMPUTED_VALUE"""),"Jueves")</f>
        <v>Jueves</v>
      </c>
      <c r="G150" s="11" t="n">
        <f aca="false">IFERROR(__xludf.dummyfunction("""COMPUTED_VALUE"""),0.333333333333333)</f>
        <v>0.333333333333333</v>
      </c>
      <c r="H150" s="11" t="n">
        <f aca="false">IFERROR(__xludf.dummyfunction("""COMPUTED_VALUE"""),0.5)</f>
        <v>0.5</v>
      </c>
      <c r="I150" s="12" t="str">
        <f aca="false">IFERROR(__xludf.dummyfunction("""COMPUTED_VALUE"""),"AULA JS-004-")</f>
        <v>AULA JS-004-</v>
      </c>
      <c r="J150" s="12" t="str">
        <f aca="false">IFERROR(__xludf.dummyfunction("""COMPUTED_VALUE"""),"JUSTICIA SOCIAL")</f>
        <v>JUSTICIA SOCIAL</v>
      </c>
      <c r="K150" s="13" t="s">
        <v>15</v>
      </c>
      <c r="L150" s="14" t="n">
        <v>5</v>
      </c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 customFormat="false" ht="15.75" hidden="false" customHeight="true" outlineLevel="0" collapsed="false">
      <c r="A151" s="5" t="s">
        <v>69</v>
      </c>
      <c r="B151" s="6" t="n">
        <v>47132914</v>
      </c>
      <c r="C151" s="7" t="s">
        <v>13</v>
      </c>
      <c r="D151" s="16" t="s">
        <v>14</v>
      </c>
      <c r="E151" s="12" t="str">
        <f aca="false">IFERROR(__xludf.dummyfunction("""COMPUTED_VALUE"""),"Mejuto Ivana")</f>
        <v>Mejuto Ivana</v>
      </c>
      <c r="F151" s="10" t="str">
        <f aca="false">IFERROR(__xludf.dummyfunction("""COMPUTED_VALUE"""),"Martes")</f>
        <v>Martes</v>
      </c>
      <c r="G151" s="11" t="n">
        <f aca="false">IFERROR(__xludf.dummyfunction("""COMPUTED_VALUE"""),0.333333333333333)</f>
        <v>0.333333333333333</v>
      </c>
      <c r="H151" s="11" t="n">
        <f aca="false">IFERROR(__xludf.dummyfunction("""COMPUTED_VALUE"""),0.5)</f>
        <v>0.5</v>
      </c>
      <c r="I151" s="12" t="str">
        <f aca="false">IFERROR(__xludf.dummyfunction("""COMPUTED_VALUE"""),"AULA JS-004-")</f>
        <v>AULA JS-004-</v>
      </c>
      <c r="J151" s="12" t="str">
        <f aca="false">IFERROR(__xludf.dummyfunction("""COMPUTED_VALUE"""),"JUSTICIA SOCIAL")</f>
        <v>JUSTICIA SOCIAL</v>
      </c>
      <c r="K151" s="13" t="s">
        <v>15</v>
      </c>
      <c r="L151" s="14" t="n">
        <v>5</v>
      </c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 customFormat="false" ht="15.75" hidden="false" customHeight="true" outlineLevel="0" collapsed="false">
      <c r="A152" s="5" t="s">
        <v>69</v>
      </c>
      <c r="B152" s="6" t="n">
        <v>47132914</v>
      </c>
      <c r="C152" s="7" t="s">
        <v>16</v>
      </c>
      <c r="D152" s="16" t="s">
        <v>14</v>
      </c>
      <c r="E152" s="12" t="str">
        <f aca="false">IFERROR(__xludf.dummyfunction("""COMPUTED_VALUE"""),"Ibañez Adela")</f>
        <v>Ibañez Adela</v>
      </c>
      <c r="F152" s="10" t="str">
        <f aca="false">IFERROR(__xludf.dummyfunction("""COMPUTED_VALUE"""),"Sábado")</f>
        <v>Sábado</v>
      </c>
      <c r="G152" s="11" t="n">
        <f aca="false">IFERROR(__xludf.dummyfunction("""COMPUTED_VALUE"""),0.375)</f>
        <v>0.375</v>
      </c>
      <c r="H152" s="11" t="n">
        <f aca="false">IFERROR(__xludf.dummyfunction("""COMPUTED_VALUE"""),0.541666666666666)</f>
        <v>0.541666666666666</v>
      </c>
      <c r="I152" s="12" t="str">
        <f aca="false">IFERROR(__xludf.dummyfunction("""COMPUTED_VALUE"""),"AULA JS-004-")</f>
        <v>AULA JS-004-</v>
      </c>
      <c r="J152" s="12" t="str">
        <f aca="false">IFERROR(__xludf.dummyfunction("""COMPUTED_VALUE"""),"JUSTICIA SOCIAL")</f>
        <v>JUSTICIA SOCIAL</v>
      </c>
      <c r="K152" s="13" t="s">
        <v>15</v>
      </c>
      <c r="L152" s="14" t="n">
        <v>5</v>
      </c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 customFormat="false" ht="15.75" hidden="false" customHeight="true" outlineLevel="0" collapsed="false">
      <c r="A153" s="5" t="s">
        <v>69</v>
      </c>
      <c r="B153" s="6" t="n">
        <v>47132914</v>
      </c>
      <c r="C153" s="17" t="s">
        <v>17</v>
      </c>
      <c r="D153" s="16" t="s">
        <v>14</v>
      </c>
      <c r="E153" s="12" t="str">
        <f aca="false">IFERROR(__xludf.dummyfunction("""COMPUTED_VALUE"""),"Mannocchi Valentina")</f>
        <v>Mannocchi Valentina</v>
      </c>
      <c r="F153" s="10" t="str">
        <f aca="false">IFERROR(__xludf.dummyfunction("""COMPUTED_VALUE"""),"Jueves")</f>
        <v>Jueves</v>
      </c>
      <c r="G153" s="11" t="n">
        <f aca="false">IFERROR(__xludf.dummyfunction("""COMPUTED_VALUE"""),0.333333333333333)</f>
        <v>0.333333333333333</v>
      </c>
      <c r="H153" s="11" t="n">
        <f aca="false">IFERROR(__xludf.dummyfunction("""COMPUTED_VALUE"""),0.5)</f>
        <v>0.5</v>
      </c>
      <c r="I153" s="12" t="str">
        <f aca="false">IFERROR(__xludf.dummyfunction("""COMPUTED_VALUE"""),"AULA JS-004-")</f>
        <v>AULA JS-004-</v>
      </c>
      <c r="J153" s="12" t="str">
        <f aca="false">IFERROR(__xludf.dummyfunction("""COMPUTED_VALUE"""),"JUSTICIA SOCIAL")</f>
        <v>JUSTICIA SOCIAL</v>
      </c>
      <c r="K153" s="13" t="s">
        <v>15</v>
      </c>
      <c r="L153" s="14" t="n">
        <v>5</v>
      </c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</row>
    <row r="154" customFormat="false" ht="15.75" hidden="false" customHeight="true" outlineLevel="0" collapsed="false">
      <c r="A154" s="5" t="s">
        <v>70</v>
      </c>
      <c r="B154" s="6" t="n">
        <v>40002697</v>
      </c>
      <c r="C154" s="7" t="s">
        <v>13</v>
      </c>
      <c r="D154" s="16" t="s">
        <v>14</v>
      </c>
      <c r="E154" s="12" t="str">
        <f aca="false">IFERROR(__xludf.dummyfunction("""COMPUTED_VALUE"""),"Mejuto Ivana")</f>
        <v>Mejuto Ivana</v>
      </c>
      <c r="F154" s="10" t="str">
        <f aca="false">IFERROR(__xludf.dummyfunction("""COMPUTED_VALUE"""),"Martes")</f>
        <v>Martes</v>
      </c>
      <c r="G154" s="11" t="n">
        <f aca="false">IFERROR(__xludf.dummyfunction("""COMPUTED_VALUE"""),0.333333333333333)</f>
        <v>0.333333333333333</v>
      </c>
      <c r="H154" s="11" t="n">
        <f aca="false">IFERROR(__xludf.dummyfunction("""COMPUTED_VALUE"""),0.5)</f>
        <v>0.5</v>
      </c>
      <c r="I154" s="12" t="str">
        <f aca="false">IFERROR(__xludf.dummyfunction("""COMPUTED_VALUE"""),"AULA JS-004-")</f>
        <v>AULA JS-004-</v>
      </c>
      <c r="J154" s="12" t="str">
        <f aca="false">IFERROR(__xludf.dummyfunction("""COMPUTED_VALUE"""),"JUSTICIA SOCIAL")</f>
        <v>JUSTICIA SOCIAL</v>
      </c>
      <c r="K154" s="13" t="s">
        <v>15</v>
      </c>
      <c r="L154" s="14" t="n">
        <v>5</v>
      </c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</row>
    <row r="155" customFormat="false" ht="15.75" hidden="false" customHeight="true" outlineLevel="0" collapsed="false">
      <c r="A155" s="5" t="s">
        <v>70</v>
      </c>
      <c r="B155" s="6" t="n">
        <v>40002697</v>
      </c>
      <c r="C155" s="7" t="s">
        <v>16</v>
      </c>
      <c r="D155" s="16" t="s">
        <v>14</v>
      </c>
      <c r="E155" s="12" t="str">
        <f aca="false">IFERROR(__xludf.dummyfunction("""COMPUTED_VALUE"""),"Ibañez Adela")</f>
        <v>Ibañez Adela</v>
      </c>
      <c r="F155" s="10" t="str">
        <f aca="false">IFERROR(__xludf.dummyfunction("""COMPUTED_VALUE"""),"Sábado")</f>
        <v>Sábado</v>
      </c>
      <c r="G155" s="11" t="n">
        <f aca="false">IFERROR(__xludf.dummyfunction("""COMPUTED_VALUE"""),0.375)</f>
        <v>0.375</v>
      </c>
      <c r="H155" s="11" t="n">
        <f aca="false">IFERROR(__xludf.dummyfunction("""COMPUTED_VALUE"""),0.541666666666666)</f>
        <v>0.541666666666666</v>
      </c>
      <c r="I155" s="12" t="str">
        <f aca="false">IFERROR(__xludf.dummyfunction("""COMPUTED_VALUE"""),"AULA JS-004-")</f>
        <v>AULA JS-004-</v>
      </c>
      <c r="J155" s="12" t="str">
        <f aca="false">IFERROR(__xludf.dummyfunction("""COMPUTED_VALUE"""),"JUSTICIA SOCIAL")</f>
        <v>JUSTICIA SOCIAL</v>
      </c>
      <c r="K155" s="13" t="s">
        <v>15</v>
      </c>
      <c r="L155" s="14" t="n">
        <v>5</v>
      </c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</row>
    <row r="156" customFormat="false" ht="15.75" hidden="false" customHeight="true" outlineLevel="0" collapsed="false">
      <c r="A156" s="5" t="s">
        <v>70</v>
      </c>
      <c r="B156" s="6" t="n">
        <v>40002697</v>
      </c>
      <c r="C156" s="17" t="s">
        <v>17</v>
      </c>
      <c r="D156" s="16" t="s">
        <v>14</v>
      </c>
      <c r="E156" s="12" t="str">
        <f aca="false">IFERROR(__xludf.dummyfunction("""COMPUTED_VALUE"""),"Mannocchi Valentina")</f>
        <v>Mannocchi Valentina</v>
      </c>
      <c r="F156" s="10" t="str">
        <f aca="false">IFERROR(__xludf.dummyfunction("""COMPUTED_VALUE"""),"Jueves")</f>
        <v>Jueves</v>
      </c>
      <c r="G156" s="11" t="n">
        <f aca="false">IFERROR(__xludf.dummyfunction("""COMPUTED_VALUE"""),0.333333333333333)</f>
        <v>0.333333333333333</v>
      </c>
      <c r="H156" s="11" t="n">
        <f aca="false">IFERROR(__xludf.dummyfunction("""COMPUTED_VALUE"""),0.5)</f>
        <v>0.5</v>
      </c>
      <c r="I156" s="12" t="str">
        <f aca="false">IFERROR(__xludf.dummyfunction("""COMPUTED_VALUE"""),"AULA JS-004-")</f>
        <v>AULA JS-004-</v>
      </c>
      <c r="J156" s="12" t="str">
        <f aca="false">IFERROR(__xludf.dummyfunction("""COMPUTED_VALUE"""),"JUSTICIA SOCIAL")</f>
        <v>JUSTICIA SOCIAL</v>
      </c>
      <c r="K156" s="13" t="s">
        <v>15</v>
      </c>
      <c r="L156" s="14" t="n">
        <v>5</v>
      </c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</row>
    <row r="157" customFormat="false" ht="15.75" hidden="false" customHeight="true" outlineLevel="0" collapsed="false">
      <c r="A157" s="5" t="s">
        <v>71</v>
      </c>
      <c r="B157" s="6" t="n">
        <v>36383837</v>
      </c>
      <c r="C157" s="7" t="s">
        <v>13</v>
      </c>
      <c r="D157" s="16" t="s">
        <v>14</v>
      </c>
      <c r="E157" s="12" t="str">
        <f aca="false">IFERROR(__xludf.dummyfunction("""COMPUTED_VALUE"""),"Mejuto Ivana")</f>
        <v>Mejuto Ivana</v>
      </c>
      <c r="F157" s="10" t="str">
        <f aca="false">IFERROR(__xludf.dummyfunction("""COMPUTED_VALUE"""),"Martes")</f>
        <v>Martes</v>
      </c>
      <c r="G157" s="11" t="n">
        <f aca="false">IFERROR(__xludf.dummyfunction("""COMPUTED_VALUE"""),0.333333333333333)</f>
        <v>0.333333333333333</v>
      </c>
      <c r="H157" s="11" t="n">
        <f aca="false">IFERROR(__xludf.dummyfunction("""COMPUTED_VALUE"""),0.5)</f>
        <v>0.5</v>
      </c>
      <c r="I157" s="12" t="str">
        <f aca="false">IFERROR(__xludf.dummyfunction("""COMPUTED_VALUE"""),"AULA JS-004-")</f>
        <v>AULA JS-004-</v>
      </c>
      <c r="J157" s="12" t="str">
        <f aca="false">IFERROR(__xludf.dummyfunction("""COMPUTED_VALUE"""),"JUSTICIA SOCIAL")</f>
        <v>JUSTICIA SOCIAL</v>
      </c>
      <c r="K157" s="13" t="s">
        <v>15</v>
      </c>
      <c r="L157" s="14" t="n">
        <v>5</v>
      </c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</row>
    <row r="158" customFormat="false" ht="15.75" hidden="false" customHeight="true" outlineLevel="0" collapsed="false">
      <c r="A158" s="5" t="s">
        <v>72</v>
      </c>
      <c r="B158" s="6" t="n">
        <v>48074887</v>
      </c>
      <c r="C158" s="7" t="s">
        <v>16</v>
      </c>
      <c r="D158" s="16" t="s">
        <v>14</v>
      </c>
      <c r="E158" s="12" t="str">
        <f aca="false">IFERROR(__xludf.dummyfunction("""COMPUTED_VALUE"""),"Ibañez Adela")</f>
        <v>Ibañez Adela</v>
      </c>
      <c r="F158" s="10" t="str">
        <f aca="false">IFERROR(__xludf.dummyfunction("""COMPUTED_VALUE"""),"Sábado")</f>
        <v>Sábado</v>
      </c>
      <c r="G158" s="11" t="n">
        <f aca="false">IFERROR(__xludf.dummyfunction("""COMPUTED_VALUE"""),0.375)</f>
        <v>0.375</v>
      </c>
      <c r="H158" s="11" t="n">
        <f aca="false">IFERROR(__xludf.dummyfunction("""COMPUTED_VALUE"""),0.541666666666666)</f>
        <v>0.541666666666666</v>
      </c>
      <c r="I158" s="12" t="str">
        <f aca="false">IFERROR(__xludf.dummyfunction("""COMPUTED_VALUE"""),"AULA JS-004-")</f>
        <v>AULA JS-004-</v>
      </c>
      <c r="J158" s="12" t="str">
        <f aca="false">IFERROR(__xludf.dummyfunction("""COMPUTED_VALUE"""),"JUSTICIA SOCIAL")</f>
        <v>JUSTICIA SOCIAL</v>
      </c>
      <c r="K158" s="13" t="s">
        <v>15</v>
      </c>
      <c r="L158" s="14" t="n">
        <v>4</v>
      </c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</row>
    <row r="159" customFormat="false" ht="15.75" hidden="false" customHeight="true" outlineLevel="0" collapsed="false">
      <c r="A159" s="5" t="s">
        <v>72</v>
      </c>
      <c r="B159" s="6" t="n">
        <v>48074887</v>
      </c>
      <c r="C159" s="17" t="s">
        <v>17</v>
      </c>
      <c r="D159" s="16" t="s">
        <v>14</v>
      </c>
      <c r="E159" s="12" t="str">
        <f aca="false">IFERROR(__xludf.dummyfunction("""COMPUTED_VALUE"""),"Mannocchi Valentina")</f>
        <v>Mannocchi Valentina</v>
      </c>
      <c r="F159" s="10" t="str">
        <f aca="false">IFERROR(__xludf.dummyfunction("""COMPUTED_VALUE"""),"Jueves")</f>
        <v>Jueves</v>
      </c>
      <c r="G159" s="11" t="n">
        <f aca="false">IFERROR(__xludf.dummyfunction("""COMPUTED_VALUE"""),0.333333333333333)</f>
        <v>0.333333333333333</v>
      </c>
      <c r="H159" s="11" t="n">
        <f aca="false">IFERROR(__xludf.dummyfunction("""COMPUTED_VALUE"""),0.5)</f>
        <v>0.5</v>
      </c>
      <c r="I159" s="12" t="str">
        <f aca="false">IFERROR(__xludf.dummyfunction("""COMPUTED_VALUE"""),"AULA JS-004-")</f>
        <v>AULA JS-004-</v>
      </c>
      <c r="J159" s="12" t="str">
        <f aca="false">IFERROR(__xludf.dummyfunction("""COMPUTED_VALUE"""),"JUSTICIA SOCIAL")</f>
        <v>JUSTICIA SOCIAL</v>
      </c>
      <c r="K159" s="13" t="s">
        <v>15</v>
      </c>
      <c r="L159" s="14" t="n">
        <v>4</v>
      </c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</row>
    <row r="160" customFormat="false" ht="15.75" hidden="false" customHeight="true" outlineLevel="0" collapsed="false">
      <c r="A160" s="5" t="s">
        <v>72</v>
      </c>
      <c r="B160" s="6" t="n">
        <v>48074887</v>
      </c>
      <c r="C160" s="7" t="s">
        <v>13</v>
      </c>
      <c r="D160" s="16" t="s">
        <v>14</v>
      </c>
      <c r="E160" s="12" t="str">
        <f aca="false">IFERROR(__xludf.dummyfunction("""COMPUTED_VALUE"""),"Mejuto Ivana")</f>
        <v>Mejuto Ivana</v>
      </c>
      <c r="F160" s="10" t="str">
        <f aca="false">IFERROR(__xludf.dummyfunction("""COMPUTED_VALUE"""),"Martes")</f>
        <v>Martes</v>
      </c>
      <c r="G160" s="11" t="n">
        <f aca="false">IFERROR(__xludf.dummyfunction("""COMPUTED_VALUE"""),0.333333333333333)</f>
        <v>0.333333333333333</v>
      </c>
      <c r="H160" s="11" t="n">
        <f aca="false">IFERROR(__xludf.dummyfunction("""COMPUTED_VALUE"""),0.5)</f>
        <v>0.5</v>
      </c>
      <c r="I160" s="12" t="str">
        <f aca="false">IFERROR(__xludf.dummyfunction("""COMPUTED_VALUE"""),"AULA JS-004-")</f>
        <v>AULA JS-004-</v>
      </c>
      <c r="J160" s="12" t="str">
        <f aca="false">IFERROR(__xludf.dummyfunction("""COMPUTED_VALUE"""),"JUSTICIA SOCIAL")</f>
        <v>JUSTICIA SOCIAL</v>
      </c>
      <c r="K160" s="13" t="s">
        <v>15</v>
      </c>
      <c r="L160" s="14" t="n">
        <v>4</v>
      </c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</row>
    <row r="161" customFormat="false" ht="15.75" hidden="false" customHeight="true" outlineLevel="0" collapsed="false">
      <c r="A161" s="5" t="s">
        <v>73</v>
      </c>
      <c r="B161" s="6" t="n">
        <v>45915504</v>
      </c>
      <c r="C161" s="7" t="s">
        <v>16</v>
      </c>
      <c r="D161" s="16" t="s">
        <v>14</v>
      </c>
      <c r="E161" s="12" t="str">
        <f aca="false">IFERROR(__xludf.dummyfunction("""COMPUTED_VALUE"""),"Ibañez Adela")</f>
        <v>Ibañez Adela</v>
      </c>
      <c r="F161" s="10" t="str">
        <f aca="false">IFERROR(__xludf.dummyfunction("""COMPUTED_VALUE"""),"Sábado")</f>
        <v>Sábado</v>
      </c>
      <c r="G161" s="11" t="n">
        <f aca="false">IFERROR(__xludf.dummyfunction("""COMPUTED_VALUE"""),0.375)</f>
        <v>0.375</v>
      </c>
      <c r="H161" s="11" t="n">
        <f aca="false">IFERROR(__xludf.dummyfunction("""COMPUTED_VALUE"""),0.541666666666666)</f>
        <v>0.541666666666666</v>
      </c>
      <c r="I161" s="12" t="str">
        <f aca="false">IFERROR(__xludf.dummyfunction("""COMPUTED_VALUE"""),"AULA JS-004-")</f>
        <v>AULA JS-004-</v>
      </c>
      <c r="J161" s="12" t="str">
        <f aca="false">IFERROR(__xludf.dummyfunction("""COMPUTED_VALUE"""),"JUSTICIA SOCIAL")</f>
        <v>JUSTICIA SOCIAL</v>
      </c>
      <c r="K161" s="13" t="s">
        <v>15</v>
      </c>
      <c r="L161" s="14" t="n">
        <v>1</v>
      </c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</row>
    <row r="162" customFormat="false" ht="15.75" hidden="false" customHeight="true" outlineLevel="0" collapsed="false">
      <c r="A162" s="5" t="s">
        <v>73</v>
      </c>
      <c r="B162" s="6" t="n">
        <v>45915504</v>
      </c>
      <c r="C162" s="17" t="s">
        <v>17</v>
      </c>
      <c r="D162" s="16" t="s">
        <v>14</v>
      </c>
      <c r="E162" s="12" t="str">
        <f aca="false">IFERROR(__xludf.dummyfunction("""COMPUTED_VALUE"""),"Mannocchi Valentina")</f>
        <v>Mannocchi Valentina</v>
      </c>
      <c r="F162" s="10" t="str">
        <f aca="false">IFERROR(__xludf.dummyfunction("""COMPUTED_VALUE"""),"Jueves")</f>
        <v>Jueves</v>
      </c>
      <c r="G162" s="11" t="n">
        <f aca="false">IFERROR(__xludf.dummyfunction("""COMPUTED_VALUE"""),0.333333333333333)</f>
        <v>0.333333333333333</v>
      </c>
      <c r="H162" s="11" t="n">
        <f aca="false">IFERROR(__xludf.dummyfunction("""COMPUTED_VALUE"""),0.5)</f>
        <v>0.5</v>
      </c>
      <c r="I162" s="12" t="str">
        <f aca="false">IFERROR(__xludf.dummyfunction("""COMPUTED_VALUE"""),"AULA JS-004-")</f>
        <v>AULA JS-004-</v>
      </c>
      <c r="J162" s="12" t="str">
        <f aca="false">IFERROR(__xludf.dummyfunction("""COMPUTED_VALUE"""),"JUSTICIA SOCIAL")</f>
        <v>JUSTICIA SOCIAL</v>
      </c>
      <c r="K162" s="13" t="s">
        <v>15</v>
      </c>
      <c r="L162" s="14" t="n">
        <v>1</v>
      </c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</row>
    <row r="163" customFormat="false" ht="15.75" hidden="false" customHeight="true" outlineLevel="0" collapsed="false">
      <c r="A163" s="5" t="s">
        <v>73</v>
      </c>
      <c r="B163" s="6" t="n">
        <v>45915504</v>
      </c>
      <c r="C163" s="7" t="s">
        <v>13</v>
      </c>
      <c r="D163" s="16" t="s">
        <v>14</v>
      </c>
      <c r="E163" s="12" t="str">
        <f aca="false">IFERROR(__xludf.dummyfunction("""COMPUTED_VALUE"""),"Mejuto Ivana")</f>
        <v>Mejuto Ivana</v>
      </c>
      <c r="F163" s="10" t="str">
        <f aca="false">IFERROR(__xludf.dummyfunction("""COMPUTED_VALUE"""),"Martes")</f>
        <v>Martes</v>
      </c>
      <c r="G163" s="11" t="n">
        <f aca="false">IFERROR(__xludf.dummyfunction("""COMPUTED_VALUE"""),0.333333333333333)</f>
        <v>0.333333333333333</v>
      </c>
      <c r="H163" s="11" t="n">
        <f aca="false">IFERROR(__xludf.dummyfunction("""COMPUTED_VALUE"""),0.5)</f>
        <v>0.5</v>
      </c>
      <c r="I163" s="12" t="str">
        <f aca="false">IFERROR(__xludf.dummyfunction("""COMPUTED_VALUE"""),"AULA JS-004-")</f>
        <v>AULA JS-004-</v>
      </c>
      <c r="J163" s="12" t="str">
        <f aca="false">IFERROR(__xludf.dummyfunction("""COMPUTED_VALUE"""),"JUSTICIA SOCIAL")</f>
        <v>JUSTICIA SOCIAL</v>
      </c>
      <c r="K163" s="13" t="s">
        <v>15</v>
      </c>
      <c r="L163" s="14" t="n">
        <v>1</v>
      </c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</row>
    <row r="164" customFormat="false" ht="15.75" hidden="false" customHeight="true" outlineLevel="0" collapsed="false">
      <c r="A164" s="5" t="s">
        <v>74</v>
      </c>
      <c r="B164" s="6" t="n">
        <v>44816241</v>
      </c>
      <c r="C164" s="7" t="s">
        <v>16</v>
      </c>
      <c r="D164" s="16" t="s">
        <v>75</v>
      </c>
      <c r="E164" s="12" t="str">
        <f aca="false">IFERROR(__xludf.dummyfunction("""COMPUTED_VALUE"""),"Fariña Silvana Mariel")</f>
        <v>Fariña Silvana Mariel</v>
      </c>
      <c r="F164" s="10" t="str">
        <f aca="false">IFERROR(__xludf.dummyfunction("""COMPUTED_VALUE"""),"Sábado")</f>
        <v>Sábado</v>
      </c>
      <c r="G164" s="11" t="n">
        <f aca="false">IFERROR(__xludf.dummyfunction("""COMPUTED_VALUE"""),0.375)</f>
        <v>0.375</v>
      </c>
      <c r="H164" s="11" t="n">
        <f aca="false">IFERROR(__xludf.dummyfunction("""COMPUTED_VALUE"""),0.541666666666666)</f>
        <v>0.541666666666666</v>
      </c>
      <c r="I164" s="12" t="str">
        <f aca="false">IFERROR(__xludf.dummyfunction("""COMPUTED_VALUE"""),"AULA JS-006-")</f>
        <v>AULA JS-006-</v>
      </c>
      <c r="J164" s="12" t="str">
        <f aca="false">IFERROR(__xludf.dummyfunction("""COMPUTED_VALUE"""),"JUSTICIA SOCIAL")</f>
        <v>JUSTICIA SOCIAL</v>
      </c>
      <c r="K164" s="13" t="s">
        <v>15</v>
      </c>
      <c r="L164" s="14" t="n">
        <v>5</v>
      </c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</row>
    <row r="165" customFormat="false" ht="15.75" hidden="false" customHeight="true" outlineLevel="0" collapsed="false">
      <c r="A165" s="5" t="s">
        <v>76</v>
      </c>
      <c r="B165" s="6" t="n">
        <v>44337841</v>
      </c>
      <c r="C165" s="17" t="s">
        <v>17</v>
      </c>
      <c r="D165" s="16" t="s">
        <v>75</v>
      </c>
      <c r="E165" s="12" t="str">
        <f aca="false">IFERROR(__xludf.dummyfunction("""COMPUTED_VALUE"""),"Mannocchi Valentina")</f>
        <v>Mannocchi Valentina</v>
      </c>
      <c r="F165" s="10" t="str">
        <f aca="false">IFERROR(__xludf.dummyfunction("""COMPUTED_VALUE"""),"Martes")</f>
        <v>Martes</v>
      </c>
      <c r="G165" s="11" t="n">
        <f aca="false">IFERROR(__xludf.dummyfunction("""COMPUTED_VALUE"""),0.333333333333333)</f>
        <v>0.333333333333333</v>
      </c>
      <c r="H165" s="11" t="n">
        <f aca="false">IFERROR(__xludf.dummyfunction("""COMPUTED_VALUE"""),0.5)</f>
        <v>0.5</v>
      </c>
      <c r="I165" s="12" t="str">
        <f aca="false">IFERROR(__xludf.dummyfunction("""COMPUTED_VALUE"""),"AULA JS-006-")</f>
        <v>AULA JS-006-</v>
      </c>
      <c r="J165" s="12" t="str">
        <f aca="false">IFERROR(__xludf.dummyfunction("""COMPUTED_VALUE"""),"JUSTICIA SOCIAL")</f>
        <v>JUSTICIA SOCIAL</v>
      </c>
      <c r="K165" s="13" t="s">
        <v>15</v>
      </c>
      <c r="L165" s="14" t="n">
        <v>5</v>
      </c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</row>
    <row r="166" customFormat="false" ht="15.75" hidden="false" customHeight="true" outlineLevel="0" collapsed="false">
      <c r="A166" s="5" t="s">
        <v>76</v>
      </c>
      <c r="B166" s="6" t="n">
        <v>44337841</v>
      </c>
      <c r="C166" s="7" t="s">
        <v>13</v>
      </c>
      <c r="D166" s="16" t="s">
        <v>75</v>
      </c>
      <c r="E166" s="12" t="str">
        <f aca="false">IFERROR(__xludf.dummyfunction("""COMPUTED_VALUE"""),"Spanu Florencia Belén")</f>
        <v>Spanu Florencia Belén</v>
      </c>
      <c r="F166" s="10" t="str">
        <f aca="false">IFERROR(__xludf.dummyfunction("""COMPUTED_VALUE"""),"Jueves")</f>
        <v>Jueves</v>
      </c>
      <c r="G166" s="11" t="n">
        <f aca="false">IFERROR(__xludf.dummyfunction("""COMPUTED_VALUE"""),0.333333333333333)</f>
        <v>0.333333333333333</v>
      </c>
      <c r="H166" s="11" t="n">
        <f aca="false">IFERROR(__xludf.dummyfunction("""COMPUTED_VALUE"""),0.5)</f>
        <v>0.5</v>
      </c>
      <c r="I166" s="12" t="str">
        <f aca="false">IFERROR(__xludf.dummyfunction("""COMPUTED_VALUE"""),"AULA JS-006-")</f>
        <v>AULA JS-006-</v>
      </c>
      <c r="J166" s="12" t="str">
        <f aca="false">IFERROR(__xludf.dummyfunction("""COMPUTED_VALUE"""),"JUSTICIA SOCIAL")</f>
        <v>JUSTICIA SOCIAL</v>
      </c>
      <c r="K166" s="13" t="s">
        <v>15</v>
      </c>
      <c r="L166" s="14" t="n">
        <v>5</v>
      </c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</row>
    <row r="167" customFormat="false" ht="15.75" hidden="false" customHeight="true" outlineLevel="0" collapsed="false">
      <c r="A167" s="5" t="s">
        <v>76</v>
      </c>
      <c r="B167" s="6" t="n">
        <v>44337841</v>
      </c>
      <c r="C167" s="7" t="s">
        <v>16</v>
      </c>
      <c r="D167" s="16" t="s">
        <v>75</v>
      </c>
      <c r="E167" s="12" t="str">
        <f aca="false">IFERROR(__xludf.dummyfunction("""COMPUTED_VALUE"""),"Fariña Silvana Mariel")</f>
        <v>Fariña Silvana Mariel</v>
      </c>
      <c r="F167" s="10" t="str">
        <f aca="false">IFERROR(__xludf.dummyfunction("""COMPUTED_VALUE"""),"Sábado")</f>
        <v>Sábado</v>
      </c>
      <c r="G167" s="11" t="n">
        <f aca="false">IFERROR(__xludf.dummyfunction("""COMPUTED_VALUE"""),0.375)</f>
        <v>0.375</v>
      </c>
      <c r="H167" s="11" t="n">
        <f aca="false">IFERROR(__xludf.dummyfunction("""COMPUTED_VALUE"""),0.541666666666666)</f>
        <v>0.541666666666666</v>
      </c>
      <c r="I167" s="12" t="str">
        <f aca="false">IFERROR(__xludf.dummyfunction("""COMPUTED_VALUE"""),"AULA JS-006-")</f>
        <v>AULA JS-006-</v>
      </c>
      <c r="J167" s="12" t="str">
        <f aca="false">IFERROR(__xludf.dummyfunction("""COMPUTED_VALUE"""),"JUSTICIA SOCIAL")</f>
        <v>JUSTICIA SOCIAL</v>
      </c>
      <c r="K167" s="13" t="s">
        <v>15</v>
      </c>
      <c r="L167" s="14" t="n">
        <v>5</v>
      </c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</row>
    <row r="168" customFormat="false" ht="15.75" hidden="false" customHeight="true" outlineLevel="0" collapsed="false">
      <c r="A168" s="5" t="s">
        <v>77</v>
      </c>
      <c r="B168" s="6" t="n">
        <v>25065289</v>
      </c>
      <c r="C168" s="17" t="s">
        <v>17</v>
      </c>
      <c r="D168" s="16" t="s">
        <v>75</v>
      </c>
      <c r="E168" s="12" t="str">
        <f aca="false">IFERROR(__xludf.dummyfunction("""COMPUTED_VALUE"""),"Mannocchi Valentina")</f>
        <v>Mannocchi Valentina</v>
      </c>
      <c r="F168" s="10" t="str">
        <f aca="false">IFERROR(__xludf.dummyfunction("""COMPUTED_VALUE"""),"Martes")</f>
        <v>Martes</v>
      </c>
      <c r="G168" s="11" t="n">
        <f aca="false">IFERROR(__xludf.dummyfunction("""COMPUTED_VALUE"""),0.333333333333333)</f>
        <v>0.333333333333333</v>
      </c>
      <c r="H168" s="11" t="n">
        <f aca="false">IFERROR(__xludf.dummyfunction("""COMPUTED_VALUE"""),0.5)</f>
        <v>0.5</v>
      </c>
      <c r="I168" s="12" t="str">
        <f aca="false">IFERROR(__xludf.dummyfunction("""COMPUTED_VALUE"""),"AULA JS-006-")</f>
        <v>AULA JS-006-</v>
      </c>
      <c r="J168" s="12" t="str">
        <f aca="false">IFERROR(__xludf.dummyfunction("""COMPUTED_VALUE"""),"JUSTICIA SOCIAL")</f>
        <v>JUSTICIA SOCIAL</v>
      </c>
      <c r="K168" s="13" t="s">
        <v>15</v>
      </c>
      <c r="L168" s="14" t="n">
        <v>5</v>
      </c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</row>
    <row r="169" customFormat="false" ht="15.75" hidden="false" customHeight="true" outlineLevel="0" collapsed="false">
      <c r="A169" s="5" t="s">
        <v>77</v>
      </c>
      <c r="B169" s="6" t="n">
        <v>25065289</v>
      </c>
      <c r="C169" s="7" t="s">
        <v>13</v>
      </c>
      <c r="D169" s="16" t="s">
        <v>75</v>
      </c>
      <c r="E169" s="12" t="str">
        <f aca="false">IFERROR(__xludf.dummyfunction("""COMPUTED_VALUE"""),"Spanu Florencia Belén")</f>
        <v>Spanu Florencia Belén</v>
      </c>
      <c r="F169" s="10" t="str">
        <f aca="false">IFERROR(__xludf.dummyfunction("""COMPUTED_VALUE"""),"Jueves")</f>
        <v>Jueves</v>
      </c>
      <c r="G169" s="11" t="n">
        <f aca="false">IFERROR(__xludf.dummyfunction("""COMPUTED_VALUE"""),0.333333333333333)</f>
        <v>0.333333333333333</v>
      </c>
      <c r="H169" s="11" t="n">
        <f aca="false">IFERROR(__xludf.dummyfunction("""COMPUTED_VALUE"""),0.5)</f>
        <v>0.5</v>
      </c>
      <c r="I169" s="12" t="str">
        <f aca="false">IFERROR(__xludf.dummyfunction("""COMPUTED_VALUE"""),"AULA JS-006-")</f>
        <v>AULA JS-006-</v>
      </c>
      <c r="J169" s="12" t="str">
        <f aca="false">IFERROR(__xludf.dummyfunction("""COMPUTED_VALUE"""),"JUSTICIA SOCIAL")</f>
        <v>JUSTICIA SOCIAL</v>
      </c>
      <c r="K169" s="13" t="s">
        <v>15</v>
      </c>
      <c r="L169" s="14" t="n">
        <v>5</v>
      </c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</row>
    <row r="170" customFormat="false" ht="15.75" hidden="false" customHeight="true" outlineLevel="0" collapsed="false">
      <c r="A170" s="5" t="s">
        <v>77</v>
      </c>
      <c r="B170" s="6" t="n">
        <v>25065289</v>
      </c>
      <c r="C170" s="7" t="s">
        <v>16</v>
      </c>
      <c r="D170" s="16" t="s">
        <v>75</v>
      </c>
      <c r="E170" s="12" t="str">
        <f aca="false">IFERROR(__xludf.dummyfunction("""COMPUTED_VALUE"""),"Fariña Silvana Mariel")</f>
        <v>Fariña Silvana Mariel</v>
      </c>
      <c r="F170" s="10" t="str">
        <f aca="false">IFERROR(__xludf.dummyfunction("""COMPUTED_VALUE"""),"Sábado")</f>
        <v>Sábado</v>
      </c>
      <c r="G170" s="11" t="n">
        <f aca="false">IFERROR(__xludf.dummyfunction("""COMPUTED_VALUE"""),0.375)</f>
        <v>0.375</v>
      </c>
      <c r="H170" s="11" t="n">
        <f aca="false">IFERROR(__xludf.dummyfunction("""COMPUTED_VALUE"""),0.541666666666666)</f>
        <v>0.541666666666666</v>
      </c>
      <c r="I170" s="12" t="str">
        <f aca="false">IFERROR(__xludf.dummyfunction("""COMPUTED_VALUE"""),"AULA JS-006-")</f>
        <v>AULA JS-006-</v>
      </c>
      <c r="J170" s="12" t="str">
        <f aca="false">IFERROR(__xludf.dummyfunction("""COMPUTED_VALUE"""),"JUSTICIA SOCIAL")</f>
        <v>JUSTICIA SOCIAL</v>
      </c>
      <c r="K170" s="13" t="s">
        <v>15</v>
      </c>
      <c r="L170" s="14" t="n">
        <v>5</v>
      </c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</row>
    <row r="171" customFormat="false" ht="15.75" hidden="false" customHeight="true" outlineLevel="0" collapsed="false">
      <c r="A171" s="5" t="s">
        <v>78</v>
      </c>
      <c r="B171" s="6" t="n">
        <v>22699180</v>
      </c>
      <c r="C171" s="17" t="s">
        <v>17</v>
      </c>
      <c r="D171" s="16" t="s">
        <v>75</v>
      </c>
      <c r="E171" s="12" t="str">
        <f aca="false">IFERROR(__xludf.dummyfunction("""COMPUTED_VALUE"""),"Mannocchi Valentina")</f>
        <v>Mannocchi Valentina</v>
      </c>
      <c r="F171" s="10" t="str">
        <f aca="false">IFERROR(__xludf.dummyfunction("""COMPUTED_VALUE"""),"Martes")</f>
        <v>Martes</v>
      </c>
      <c r="G171" s="11" t="n">
        <f aca="false">IFERROR(__xludf.dummyfunction("""COMPUTED_VALUE"""),0.333333333333333)</f>
        <v>0.333333333333333</v>
      </c>
      <c r="H171" s="11" t="n">
        <f aca="false">IFERROR(__xludf.dummyfunction("""COMPUTED_VALUE"""),0.5)</f>
        <v>0.5</v>
      </c>
      <c r="I171" s="12" t="str">
        <f aca="false">IFERROR(__xludf.dummyfunction("""COMPUTED_VALUE"""),"AULA JS-006-")</f>
        <v>AULA JS-006-</v>
      </c>
      <c r="J171" s="12" t="str">
        <f aca="false">IFERROR(__xludf.dummyfunction("""COMPUTED_VALUE"""),"JUSTICIA SOCIAL")</f>
        <v>JUSTICIA SOCIAL</v>
      </c>
      <c r="K171" s="13" t="s">
        <v>15</v>
      </c>
      <c r="L171" s="14" t="n">
        <v>5</v>
      </c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</row>
    <row r="172" customFormat="false" ht="15.75" hidden="false" customHeight="true" outlineLevel="0" collapsed="false">
      <c r="A172" s="5" t="s">
        <v>78</v>
      </c>
      <c r="B172" s="6" t="n">
        <v>22699180</v>
      </c>
      <c r="C172" s="7" t="s">
        <v>13</v>
      </c>
      <c r="D172" s="16" t="s">
        <v>75</v>
      </c>
      <c r="E172" s="12" t="str">
        <f aca="false">IFERROR(__xludf.dummyfunction("""COMPUTED_VALUE"""),"Spanu Florencia Belén")</f>
        <v>Spanu Florencia Belén</v>
      </c>
      <c r="F172" s="10" t="str">
        <f aca="false">IFERROR(__xludf.dummyfunction("""COMPUTED_VALUE"""),"Jueves")</f>
        <v>Jueves</v>
      </c>
      <c r="G172" s="11" t="n">
        <f aca="false">IFERROR(__xludf.dummyfunction("""COMPUTED_VALUE"""),0.333333333333333)</f>
        <v>0.333333333333333</v>
      </c>
      <c r="H172" s="11" t="n">
        <f aca="false">IFERROR(__xludf.dummyfunction("""COMPUTED_VALUE"""),0.5)</f>
        <v>0.5</v>
      </c>
      <c r="I172" s="12" t="str">
        <f aca="false">IFERROR(__xludf.dummyfunction("""COMPUTED_VALUE"""),"AULA JS-006-")</f>
        <v>AULA JS-006-</v>
      </c>
      <c r="J172" s="12" t="str">
        <f aca="false">IFERROR(__xludf.dummyfunction("""COMPUTED_VALUE"""),"JUSTICIA SOCIAL")</f>
        <v>JUSTICIA SOCIAL</v>
      </c>
      <c r="K172" s="13" t="s">
        <v>15</v>
      </c>
      <c r="L172" s="14" t="n">
        <v>5</v>
      </c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</row>
    <row r="173" customFormat="false" ht="15.75" hidden="false" customHeight="true" outlineLevel="0" collapsed="false">
      <c r="A173" s="5" t="s">
        <v>78</v>
      </c>
      <c r="B173" s="6" t="n">
        <v>22699180</v>
      </c>
      <c r="C173" s="7" t="s">
        <v>16</v>
      </c>
      <c r="D173" s="16" t="s">
        <v>75</v>
      </c>
      <c r="E173" s="12" t="str">
        <f aca="false">IFERROR(__xludf.dummyfunction("""COMPUTED_VALUE"""),"Fariña Silvana Mariel")</f>
        <v>Fariña Silvana Mariel</v>
      </c>
      <c r="F173" s="10" t="str">
        <f aca="false">IFERROR(__xludf.dummyfunction("""COMPUTED_VALUE"""),"Sábado")</f>
        <v>Sábado</v>
      </c>
      <c r="G173" s="11" t="n">
        <f aca="false">IFERROR(__xludf.dummyfunction("""COMPUTED_VALUE"""),0.375)</f>
        <v>0.375</v>
      </c>
      <c r="H173" s="11" t="n">
        <f aca="false">IFERROR(__xludf.dummyfunction("""COMPUTED_VALUE"""),0.541666666666666)</f>
        <v>0.541666666666666</v>
      </c>
      <c r="I173" s="12" t="str">
        <f aca="false">IFERROR(__xludf.dummyfunction("""COMPUTED_VALUE"""),"AULA JS-006-")</f>
        <v>AULA JS-006-</v>
      </c>
      <c r="J173" s="12" t="str">
        <f aca="false">IFERROR(__xludf.dummyfunction("""COMPUTED_VALUE"""),"JUSTICIA SOCIAL")</f>
        <v>JUSTICIA SOCIAL</v>
      </c>
      <c r="K173" s="13" t="s">
        <v>15</v>
      </c>
      <c r="L173" s="14" t="n">
        <v>5</v>
      </c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</row>
    <row r="174" customFormat="false" ht="15.75" hidden="false" customHeight="true" outlineLevel="0" collapsed="false">
      <c r="A174" s="5" t="s">
        <v>79</v>
      </c>
      <c r="B174" s="6" t="n">
        <v>24317226</v>
      </c>
      <c r="C174" s="17" t="s">
        <v>17</v>
      </c>
      <c r="D174" s="16" t="s">
        <v>75</v>
      </c>
      <c r="E174" s="12" t="str">
        <f aca="false">IFERROR(__xludf.dummyfunction("""COMPUTED_VALUE"""),"Mannocchi Valentina")</f>
        <v>Mannocchi Valentina</v>
      </c>
      <c r="F174" s="10" t="str">
        <f aca="false">IFERROR(__xludf.dummyfunction("""COMPUTED_VALUE"""),"Martes")</f>
        <v>Martes</v>
      </c>
      <c r="G174" s="11" t="n">
        <f aca="false">IFERROR(__xludf.dummyfunction("""COMPUTED_VALUE"""),0.333333333333333)</f>
        <v>0.333333333333333</v>
      </c>
      <c r="H174" s="11" t="n">
        <f aca="false">IFERROR(__xludf.dummyfunction("""COMPUTED_VALUE"""),0.5)</f>
        <v>0.5</v>
      </c>
      <c r="I174" s="12" t="str">
        <f aca="false">IFERROR(__xludf.dummyfunction("""COMPUTED_VALUE"""),"AULA JS-006-")</f>
        <v>AULA JS-006-</v>
      </c>
      <c r="J174" s="12" t="str">
        <f aca="false">IFERROR(__xludf.dummyfunction("""COMPUTED_VALUE"""),"JUSTICIA SOCIAL")</f>
        <v>JUSTICIA SOCIAL</v>
      </c>
      <c r="K174" s="13" t="s">
        <v>15</v>
      </c>
      <c r="L174" s="14" t="n">
        <v>5</v>
      </c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</row>
    <row r="175" customFormat="false" ht="15.75" hidden="false" customHeight="true" outlineLevel="0" collapsed="false">
      <c r="A175" s="5" t="s">
        <v>79</v>
      </c>
      <c r="B175" s="6" t="n">
        <v>24317226</v>
      </c>
      <c r="C175" s="7" t="s">
        <v>13</v>
      </c>
      <c r="D175" s="16" t="s">
        <v>75</v>
      </c>
      <c r="E175" s="12" t="str">
        <f aca="false">IFERROR(__xludf.dummyfunction("""COMPUTED_VALUE"""),"Spanu Florencia Belén")</f>
        <v>Spanu Florencia Belén</v>
      </c>
      <c r="F175" s="10" t="str">
        <f aca="false">IFERROR(__xludf.dummyfunction("""COMPUTED_VALUE"""),"Jueves")</f>
        <v>Jueves</v>
      </c>
      <c r="G175" s="11" t="n">
        <f aca="false">IFERROR(__xludf.dummyfunction("""COMPUTED_VALUE"""),0.333333333333333)</f>
        <v>0.333333333333333</v>
      </c>
      <c r="H175" s="11" t="n">
        <f aca="false">IFERROR(__xludf.dummyfunction("""COMPUTED_VALUE"""),0.5)</f>
        <v>0.5</v>
      </c>
      <c r="I175" s="12" t="str">
        <f aca="false">IFERROR(__xludf.dummyfunction("""COMPUTED_VALUE"""),"AULA JS-006-")</f>
        <v>AULA JS-006-</v>
      </c>
      <c r="J175" s="12" t="str">
        <f aca="false">IFERROR(__xludf.dummyfunction("""COMPUTED_VALUE"""),"JUSTICIA SOCIAL")</f>
        <v>JUSTICIA SOCIAL</v>
      </c>
      <c r="K175" s="13" t="s">
        <v>15</v>
      </c>
      <c r="L175" s="14" t="n">
        <v>5</v>
      </c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</row>
    <row r="176" customFormat="false" ht="15.75" hidden="false" customHeight="true" outlineLevel="0" collapsed="false">
      <c r="A176" s="5" t="s">
        <v>79</v>
      </c>
      <c r="B176" s="6" t="n">
        <v>24317226</v>
      </c>
      <c r="C176" s="7" t="s">
        <v>16</v>
      </c>
      <c r="D176" s="16" t="s">
        <v>75</v>
      </c>
      <c r="E176" s="12" t="str">
        <f aca="false">IFERROR(__xludf.dummyfunction("""COMPUTED_VALUE"""),"Fariña Silvana Mariel")</f>
        <v>Fariña Silvana Mariel</v>
      </c>
      <c r="F176" s="10" t="str">
        <f aca="false">IFERROR(__xludf.dummyfunction("""COMPUTED_VALUE"""),"Sábado")</f>
        <v>Sábado</v>
      </c>
      <c r="G176" s="11" t="n">
        <f aca="false">IFERROR(__xludf.dummyfunction("""COMPUTED_VALUE"""),0.375)</f>
        <v>0.375</v>
      </c>
      <c r="H176" s="11" t="n">
        <f aca="false">IFERROR(__xludf.dummyfunction("""COMPUTED_VALUE"""),0.541666666666666)</f>
        <v>0.541666666666666</v>
      </c>
      <c r="I176" s="12" t="str">
        <f aca="false">IFERROR(__xludf.dummyfunction("""COMPUTED_VALUE"""),"AULA JS-006-")</f>
        <v>AULA JS-006-</v>
      </c>
      <c r="J176" s="12" t="str">
        <f aca="false">IFERROR(__xludf.dummyfunction("""COMPUTED_VALUE"""),"JUSTICIA SOCIAL")</f>
        <v>JUSTICIA SOCIAL</v>
      </c>
      <c r="K176" s="13" t="s">
        <v>15</v>
      </c>
      <c r="L176" s="14" t="n">
        <v>4</v>
      </c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</row>
    <row r="177" customFormat="false" ht="15.75" hidden="false" customHeight="true" outlineLevel="0" collapsed="false">
      <c r="A177" s="5" t="s">
        <v>80</v>
      </c>
      <c r="B177" s="6" t="n">
        <v>28824611</v>
      </c>
      <c r="C177" s="17" t="s">
        <v>17</v>
      </c>
      <c r="D177" s="16" t="s">
        <v>75</v>
      </c>
      <c r="E177" s="12" t="str">
        <f aca="false">IFERROR(__xludf.dummyfunction("""COMPUTED_VALUE"""),"Mannocchi Valentina")</f>
        <v>Mannocchi Valentina</v>
      </c>
      <c r="F177" s="10" t="str">
        <f aca="false">IFERROR(__xludf.dummyfunction("""COMPUTED_VALUE"""),"Martes")</f>
        <v>Martes</v>
      </c>
      <c r="G177" s="11" t="n">
        <f aca="false">IFERROR(__xludf.dummyfunction("""COMPUTED_VALUE"""),0.333333333333333)</f>
        <v>0.333333333333333</v>
      </c>
      <c r="H177" s="11" t="n">
        <f aca="false">IFERROR(__xludf.dummyfunction("""COMPUTED_VALUE"""),0.5)</f>
        <v>0.5</v>
      </c>
      <c r="I177" s="12" t="str">
        <f aca="false">IFERROR(__xludf.dummyfunction("""COMPUTED_VALUE"""),"AULA JS-006-")</f>
        <v>AULA JS-006-</v>
      </c>
      <c r="J177" s="12" t="str">
        <f aca="false">IFERROR(__xludf.dummyfunction("""COMPUTED_VALUE"""),"JUSTICIA SOCIAL")</f>
        <v>JUSTICIA SOCIAL</v>
      </c>
      <c r="K177" s="13" t="s">
        <v>15</v>
      </c>
      <c r="L177" s="14" t="n">
        <v>4</v>
      </c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</row>
    <row r="178" customFormat="false" ht="15.75" hidden="false" customHeight="true" outlineLevel="0" collapsed="false">
      <c r="A178" s="5" t="s">
        <v>80</v>
      </c>
      <c r="B178" s="6" t="n">
        <v>28824611</v>
      </c>
      <c r="C178" s="7" t="s">
        <v>13</v>
      </c>
      <c r="D178" s="16" t="s">
        <v>75</v>
      </c>
      <c r="E178" s="12" t="str">
        <f aca="false">IFERROR(__xludf.dummyfunction("""COMPUTED_VALUE"""),"Spanu Florencia Belén")</f>
        <v>Spanu Florencia Belén</v>
      </c>
      <c r="F178" s="10" t="str">
        <f aca="false">IFERROR(__xludf.dummyfunction("""COMPUTED_VALUE"""),"Jueves")</f>
        <v>Jueves</v>
      </c>
      <c r="G178" s="11" t="n">
        <f aca="false">IFERROR(__xludf.dummyfunction("""COMPUTED_VALUE"""),0.333333333333333)</f>
        <v>0.333333333333333</v>
      </c>
      <c r="H178" s="11" t="n">
        <f aca="false">IFERROR(__xludf.dummyfunction("""COMPUTED_VALUE"""),0.5)</f>
        <v>0.5</v>
      </c>
      <c r="I178" s="12" t="str">
        <f aca="false">IFERROR(__xludf.dummyfunction("""COMPUTED_VALUE"""),"AULA JS-006-")</f>
        <v>AULA JS-006-</v>
      </c>
      <c r="J178" s="12" t="str">
        <f aca="false">IFERROR(__xludf.dummyfunction("""COMPUTED_VALUE"""),"JUSTICIA SOCIAL")</f>
        <v>JUSTICIA SOCIAL</v>
      </c>
      <c r="K178" s="13" t="s">
        <v>15</v>
      </c>
      <c r="L178" s="14" t="n">
        <v>4</v>
      </c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</row>
    <row r="179" customFormat="false" ht="15.75" hidden="false" customHeight="true" outlineLevel="0" collapsed="false">
      <c r="A179" s="5" t="s">
        <v>80</v>
      </c>
      <c r="B179" s="6" t="n">
        <v>28824611</v>
      </c>
      <c r="C179" s="7" t="s">
        <v>16</v>
      </c>
      <c r="D179" s="16" t="s">
        <v>75</v>
      </c>
      <c r="E179" s="12" t="str">
        <f aca="false">IFERROR(__xludf.dummyfunction("""COMPUTED_VALUE"""),"Fariña Silvana Mariel")</f>
        <v>Fariña Silvana Mariel</v>
      </c>
      <c r="F179" s="10" t="str">
        <f aca="false">IFERROR(__xludf.dummyfunction("""COMPUTED_VALUE"""),"Sábado")</f>
        <v>Sábado</v>
      </c>
      <c r="G179" s="11" t="n">
        <f aca="false">IFERROR(__xludf.dummyfunction("""COMPUTED_VALUE"""),0.375)</f>
        <v>0.375</v>
      </c>
      <c r="H179" s="11" t="n">
        <f aca="false">IFERROR(__xludf.dummyfunction("""COMPUTED_VALUE"""),0.541666666666666)</f>
        <v>0.541666666666666</v>
      </c>
      <c r="I179" s="12" t="str">
        <f aca="false">IFERROR(__xludf.dummyfunction("""COMPUTED_VALUE"""),"AULA JS-006-")</f>
        <v>AULA JS-006-</v>
      </c>
      <c r="J179" s="12" t="str">
        <f aca="false">IFERROR(__xludf.dummyfunction("""COMPUTED_VALUE"""),"JUSTICIA SOCIAL")</f>
        <v>JUSTICIA SOCIAL</v>
      </c>
      <c r="K179" s="13" t="s">
        <v>15</v>
      </c>
      <c r="L179" s="14" t="n">
        <v>6</v>
      </c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 customFormat="false" ht="15.75" hidden="false" customHeight="true" outlineLevel="0" collapsed="false">
      <c r="A180" s="5" t="s">
        <v>81</v>
      </c>
      <c r="B180" s="6" t="n">
        <v>37440313</v>
      </c>
      <c r="C180" s="17" t="s">
        <v>17</v>
      </c>
      <c r="D180" s="16" t="s">
        <v>75</v>
      </c>
      <c r="E180" s="12" t="str">
        <f aca="false">IFERROR(__xludf.dummyfunction("""COMPUTED_VALUE"""),"Mannocchi Valentina")</f>
        <v>Mannocchi Valentina</v>
      </c>
      <c r="F180" s="10" t="str">
        <f aca="false">IFERROR(__xludf.dummyfunction("""COMPUTED_VALUE"""),"Martes")</f>
        <v>Martes</v>
      </c>
      <c r="G180" s="11" t="n">
        <f aca="false">IFERROR(__xludf.dummyfunction("""COMPUTED_VALUE"""),0.333333333333333)</f>
        <v>0.333333333333333</v>
      </c>
      <c r="H180" s="11" t="n">
        <f aca="false">IFERROR(__xludf.dummyfunction("""COMPUTED_VALUE"""),0.5)</f>
        <v>0.5</v>
      </c>
      <c r="I180" s="12" t="str">
        <f aca="false">IFERROR(__xludf.dummyfunction("""COMPUTED_VALUE"""),"AULA JS-006-")</f>
        <v>AULA JS-006-</v>
      </c>
      <c r="J180" s="12" t="str">
        <f aca="false">IFERROR(__xludf.dummyfunction("""COMPUTED_VALUE"""),"JUSTICIA SOCIAL")</f>
        <v>JUSTICIA SOCIAL</v>
      </c>
      <c r="K180" s="13" t="s">
        <v>15</v>
      </c>
      <c r="L180" s="14" t="n">
        <v>6</v>
      </c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</row>
    <row r="181" customFormat="false" ht="15.75" hidden="false" customHeight="true" outlineLevel="0" collapsed="false">
      <c r="A181" s="5" t="s">
        <v>81</v>
      </c>
      <c r="B181" s="6" t="n">
        <v>37440313</v>
      </c>
      <c r="C181" s="7" t="s">
        <v>13</v>
      </c>
      <c r="D181" s="16" t="s">
        <v>75</v>
      </c>
      <c r="E181" s="12" t="str">
        <f aca="false">IFERROR(__xludf.dummyfunction("""COMPUTED_VALUE"""),"Spanu Florencia Belén")</f>
        <v>Spanu Florencia Belén</v>
      </c>
      <c r="F181" s="10" t="str">
        <f aca="false">IFERROR(__xludf.dummyfunction("""COMPUTED_VALUE"""),"Jueves")</f>
        <v>Jueves</v>
      </c>
      <c r="G181" s="11" t="n">
        <f aca="false">IFERROR(__xludf.dummyfunction("""COMPUTED_VALUE"""),0.333333333333333)</f>
        <v>0.333333333333333</v>
      </c>
      <c r="H181" s="11" t="n">
        <f aca="false">IFERROR(__xludf.dummyfunction("""COMPUTED_VALUE"""),0.5)</f>
        <v>0.5</v>
      </c>
      <c r="I181" s="12" t="str">
        <f aca="false">IFERROR(__xludf.dummyfunction("""COMPUTED_VALUE"""),"AULA JS-006-")</f>
        <v>AULA JS-006-</v>
      </c>
      <c r="J181" s="12" t="str">
        <f aca="false">IFERROR(__xludf.dummyfunction("""COMPUTED_VALUE"""),"JUSTICIA SOCIAL")</f>
        <v>JUSTICIA SOCIAL</v>
      </c>
      <c r="K181" s="13" t="s">
        <v>15</v>
      </c>
      <c r="L181" s="14" t="n">
        <v>6</v>
      </c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</row>
    <row r="182" customFormat="false" ht="15.75" hidden="false" customHeight="true" outlineLevel="0" collapsed="false">
      <c r="A182" s="5" t="s">
        <v>81</v>
      </c>
      <c r="B182" s="6" t="n">
        <v>37440313</v>
      </c>
      <c r="C182" s="7" t="s">
        <v>16</v>
      </c>
      <c r="D182" s="16" t="s">
        <v>75</v>
      </c>
      <c r="E182" s="12" t="str">
        <f aca="false">IFERROR(__xludf.dummyfunction("""COMPUTED_VALUE"""),"Fariña Silvana Mariel")</f>
        <v>Fariña Silvana Mariel</v>
      </c>
      <c r="F182" s="10" t="str">
        <f aca="false">IFERROR(__xludf.dummyfunction("""COMPUTED_VALUE"""),"Sábado")</f>
        <v>Sábado</v>
      </c>
      <c r="G182" s="11" t="n">
        <f aca="false">IFERROR(__xludf.dummyfunction("""COMPUTED_VALUE"""),0.375)</f>
        <v>0.375</v>
      </c>
      <c r="H182" s="11" t="n">
        <f aca="false">IFERROR(__xludf.dummyfunction("""COMPUTED_VALUE"""),0.541666666666666)</f>
        <v>0.541666666666666</v>
      </c>
      <c r="I182" s="12" t="str">
        <f aca="false">IFERROR(__xludf.dummyfunction("""COMPUTED_VALUE"""),"AULA JS-006-")</f>
        <v>AULA JS-006-</v>
      </c>
      <c r="J182" s="12" t="str">
        <f aca="false">IFERROR(__xludf.dummyfunction("""COMPUTED_VALUE"""),"JUSTICIA SOCIAL")</f>
        <v>JUSTICIA SOCIAL</v>
      </c>
      <c r="K182" s="13" t="s">
        <v>15</v>
      </c>
      <c r="L182" s="14" t="n">
        <v>2</v>
      </c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</row>
    <row r="183" customFormat="false" ht="15.75" hidden="false" customHeight="true" outlineLevel="0" collapsed="false">
      <c r="A183" s="5" t="s">
        <v>82</v>
      </c>
      <c r="B183" s="6" t="n">
        <v>43784522</v>
      </c>
      <c r="C183" s="17" t="s">
        <v>17</v>
      </c>
      <c r="D183" s="16" t="s">
        <v>75</v>
      </c>
      <c r="E183" s="12" t="str">
        <f aca="false">IFERROR(__xludf.dummyfunction("""COMPUTED_VALUE"""),"Mannocchi Valentina")</f>
        <v>Mannocchi Valentina</v>
      </c>
      <c r="F183" s="10" t="str">
        <f aca="false">IFERROR(__xludf.dummyfunction("""COMPUTED_VALUE"""),"Martes")</f>
        <v>Martes</v>
      </c>
      <c r="G183" s="11" t="n">
        <f aca="false">IFERROR(__xludf.dummyfunction("""COMPUTED_VALUE"""),0.333333333333333)</f>
        <v>0.333333333333333</v>
      </c>
      <c r="H183" s="11" t="n">
        <f aca="false">IFERROR(__xludf.dummyfunction("""COMPUTED_VALUE"""),0.5)</f>
        <v>0.5</v>
      </c>
      <c r="I183" s="12" t="str">
        <f aca="false">IFERROR(__xludf.dummyfunction("""COMPUTED_VALUE"""),"AULA JS-006-")</f>
        <v>AULA JS-006-</v>
      </c>
      <c r="J183" s="12" t="str">
        <f aca="false">IFERROR(__xludf.dummyfunction("""COMPUTED_VALUE"""),"JUSTICIA SOCIAL")</f>
        <v>JUSTICIA SOCIAL</v>
      </c>
      <c r="K183" s="13" t="s">
        <v>15</v>
      </c>
      <c r="L183" s="14" t="n">
        <v>2</v>
      </c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</row>
    <row r="184" customFormat="false" ht="15.75" hidden="false" customHeight="true" outlineLevel="0" collapsed="false">
      <c r="A184" s="5" t="s">
        <v>82</v>
      </c>
      <c r="B184" s="6" t="n">
        <v>43784522</v>
      </c>
      <c r="C184" s="7" t="s">
        <v>13</v>
      </c>
      <c r="D184" s="16" t="s">
        <v>75</v>
      </c>
      <c r="E184" s="12" t="str">
        <f aca="false">IFERROR(__xludf.dummyfunction("""COMPUTED_VALUE"""),"Spanu Florencia Belén")</f>
        <v>Spanu Florencia Belén</v>
      </c>
      <c r="F184" s="10" t="str">
        <f aca="false">IFERROR(__xludf.dummyfunction("""COMPUTED_VALUE"""),"Jueves")</f>
        <v>Jueves</v>
      </c>
      <c r="G184" s="11" t="n">
        <f aca="false">IFERROR(__xludf.dummyfunction("""COMPUTED_VALUE"""),0.333333333333333)</f>
        <v>0.333333333333333</v>
      </c>
      <c r="H184" s="11" t="n">
        <f aca="false">IFERROR(__xludf.dummyfunction("""COMPUTED_VALUE"""),0.5)</f>
        <v>0.5</v>
      </c>
      <c r="I184" s="12" t="str">
        <f aca="false">IFERROR(__xludf.dummyfunction("""COMPUTED_VALUE"""),"AULA JS-006-")</f>
        <v>AULA JS-006-</v>
      </c>
      <c r="J184" s="12" t="str">
        <f aca="false">IFERROR(__xludf.dummyfunction("""COMPUTED_VALUE"""),"JUSTICIA SOCIAL")</f>
        <v>JUSTICIA SOCIAL</v>
      </c>
      <c r="K184" s="13" t="s">
        <v>15</v>
      </c>
      <c r="L184" s="14" t="n">
        <v>2</v>
      </c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 customFormat="false" ht="15.75" hidden="false" customHeight="true" outlineLevel="0" collapsed="false">
      <c r="A185" s="5" t="s">
        <v>82</v>
      </c>
      <c r="B185" s="6" t="n">
        <v>43784522</v>
      </c>
      <c r="C185" s="7" t="s">
        <v>16</v>
      </c>
      <c r="D185" s="16" t="s">
        <v>75</v>
      </c>
      <c r="E185" s="12" t="str">
        <f aca="false">IFERROR(__xludf.dummyfunction("""COMPUTED_VALUE"""),"Fariña Silvana Mariel")</f>
        <v>Fariña Silvana Mariel</v>
      </c>
      <c r="F185" s="10" t="str">
        <f aca="false">IFERROR(__xludf.dummyfunction("""COMPUTED_VALUE"""),"Sábado")</f>
        <v>Sábado</v>
      </c>
      <c r="G185" s="11" t="n">
        <f aca="false">IFERROR(__xludf.dummyfunction("""COMPUTED_VALUE"""),0.375)</f>
        <v>0.375</v>
      </c>
      <c r="H185" s="11" t="n">
        <f aca="false">IFERROR(__xludf.dummyfunction("""COMPUTED_VALUE"""),0.541666666666666)</f>
        <v>0.541666666666666</v>
      </c>
      <c r="I185" s="12" t="str">
        <f aca="false">IFERROR(__xludf.dummyfunction("""COMPUTED_VALUE"""),"AULA JS-006-")</f>
        <v>AULA JS-006-</v>
      </c>
      <c r="J185" s="12" t="str">
        <f aca="false">IFERROR(__xludf.dummyfunction("""COMPUTED_VALUE"""),"JUSTICIA SOCIAL")</f>
        <v>JUSTICIA SOCIAL</v>
      </c>
      <c r="K185" s="13" t="s">
        <v>15</v>
      </c>
      <c r="L185" s="14" t="n">
        <v>1</v>
      </c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</row>
    <row r="186" customFormat="false" ht="15.75" hidden="false" customHeight="true" outlineLevel="0" collapsed="false">
      <c r="A186" s="5" t="s">
        <v>83</v>
      </c>
      <c r="B186" s="6" t="n">
        <v>39696609</v>
      </c>
      <c r="C186" s="17" t="s">
        <v>17</v>
      </c>
      <c r="D186" s="16" t="s">
        <v>75</v>
      </c>
      <c r="E186" s="12" t="str">
        <f aca="false">IFERROR(__xludf.dummyfunction("""COMPUTED_VALUE"""),"Mannocchi Valentina")</f>
        <v>Mannocchi Valentina</v>
      </c>
      <c r="F186" s="10" t="str">
        <f aca="false">IFERROR(__xludf.dummyfunction("""COMPUTED_VALUE"""),"Martes")</f>
        <v>Martes</v>
      </c>
      <c r="G186" s="11" t="n">
        <f aca="false">IFERROR(__xludf.dummyfunction("""COMPUTED_VALUE"""),0.333333333333333)</f>
        <v>0.333333333333333</v>
      </c>
      <c r="H186" s="11" t="n">
        <f aca="false">IFERROR(__xludf.dummyfunction("""COMPUTED_VALUE"""),0.5)</f>
        <v>0.5</v>
      </c>
      <c r="I186" s="12" t="str">
        <f aca="false">IFERROR(__xludf.dummyfunction("""COMPUTED_VALUE"""),"AULA JS-006-")</f>
        <v>AULA JS-006-</v>
      </c>
      <c r="J186" s="12" t="str">
        <f aca="false">IFERROR(__xludf.dummyfunction("""COMPUTED_VALUE"""),"JUSTICIA SOCIAL")</f>
        <v>JUSTICIA SOCIAL</v>
      </c>
      <c r="K186" s="13" t="s">
        <v>15</v>
      </c>
      <c r="L186" s="14" t="n">
        <v>1</v>
      </c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 customFormat="false" ht="15.75" hidden="false" customHeight="true" outlineLevel="0" collapsed="false">
      <c r="A187" s="5" t="s">
        <v>83</v>
      </c>
      <c r="B187" s="6" t="n">
        <v>39696609</v>
      </c>
      <c r="C187" s="7" t="s">
        <v>13</v>
      </c>
      <c r="D187" s="16" t="s">
        <v>75</v>
      </c>
      <c r="E187" s="12" t="str">
        <f aca="false">IFERROR(__xludf.dummyfunction("""COMPUTED_VALUE"""),"Spanu Florencia Belén")</f>
        <v>Spanu Florencia Belén</v>
      </c>
      <c r="F187" s="10" t="str">
        <f aca="false">IFERROR(__xludf.dummyfunction("""COMPUTED_VALUE"""),"Jueves")</f>
        <v>Jueves</v>
      </c>
      <c r="G187" s="11" t="n">
        <f aca="false">IFERROR(__xludf.dummyfunction("""COMPUTED_VALUE"""),0.333333333333333)</f>
        <v>0.333333333333333</v>
      </c>
      <c r="H187" s="11" t="n">
        <f aca="false">IFERROR(__xludf.dummyfunction("""COMPUTED_VALUE"""),0.5)</f>
        <v>0.5</v>
      </c>
      <c r="I187" s="12" t="str">
        <f aca="false">IFERROR(__xludf.dummyfunction("""COMPUTED_VALUE"""),"AULA JS-006-")</f>
        <v>AULA JS-006-</v>
      </c>
      <c r="J187" s="12" t="str">
        <f aca="false">IFERROR(__xludf.dummyfunction("""COMPUTED_VALUE"""),"JUSTICIA SOCIAL")</f>
        <v>JUSTICIA SOCIAL</v>
      </c>
      <c r="K187" s="13" t="s">
        <v>15</v>
      </c>
      <c r="L187" s="14" t="n">
        <v>1</v>
      </c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</row>
    <row r="188" customFormat="false" ht="15.75" hidden="false" customHeight="true" outlineLevel="0" collapsed="false">
      <c r="A188" s="5" t="s">
        <v>83</v>
      </c>
      <c r="B188" s="6" t="n">
        <v>39696609</v>
      </c>
      <c r="C188" s="7" t="s">
        <v>16</v>
      </c>
      <c r="D188" s="16" t="s">
        <v>75</v>
      </c>
      <c r="E188" s="12" t="str">
        <f aca="false">IFERROR(__xludf.dummyfunction("""COMPUTED_VALUE"""),"Fariña Silvana Mariel")</f>
        <v>Fariña Silvana Mariel</v>
      </c>
      <c r="F188" s="10" t="str">
        <f aca="false">IFERROR(__xludf.dummyfunction("""COMPUTED_VALUE"""),"Sábado")</f>
        <v>Sábado</v>
      </c>
      <c r="G188" s="11" t="n">
        <f aca="false">IFERROR(__xludf.dummyfunction("""COMPUTED_VALUE"""),0.375)</f>
        <v>0.375</v>
      </c>
      <c r="H188" s="11" t="n">
        <f aca="false">IFERROR(__xludf.dummyfunction("""COMPUTED_VALUE"""),0.541666666666666)</f>
        <v>0.541666666666666</v>
      </c>
      <c r="I188" s="12" t="str">
        <f aca="false">IFERROR(__xludf.dummyfunction("""COMPUTED_VALUE"""),"AULA JS-006-")</f>
        <v>AULA JS-006-</v>
      </c>
      <c r="J188" s="12" t="str">
        <f aca="false">IFERROR(__xludf.dummyfunction("""COMPUTED_VALUE"""),"JUSTICIA SOCIAL")</f>
        <v>JUSTICIA SOCIAL</v>
      </c>
      <c r="K188" s="13" t="s">
        <v>15</v>
      </c>
      <c r="L188" s="14" t="n">
        <v>1</v>
      </c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 customFormat="false" ht="15.75" hidden="false" customHeight="true" outlineLevel="0" collapsed="false">
      <c r="A189" s="5" t="s">
        <v>84</v>
      </c>
      <c r="B189" s="6" t="n">
        <v>27569300</v>
      </c>
      <c r="C189" s="17" t="s">
        <v>17</v>
      </c>
      <c r="D189" s="16" t="s">
        <v>75</v>
      </c>
      <c r="E189" s="12" t="str">
        <f aca="false">IFERROR(__xludf.dummyfunction("""COMPUTED_VALUE"""),"Mannocchi Valentina")</f>
        <v>Mannocchi Valentina</v>
      </c>
      <c r="F189" s="10" t="str">
        <f aca="false">IFERROR(__xludf.dummyfunction("""COMPUTED_VALUE"""),"Martes")</f>
        <v>Martes</v>
      </c>
      <c r="G189" s="11" t="n">
        <f aca="false">IFERROR(__xludf.dummyfunction("""COMPUTED_VALUE"""),0.333333333333333)</f>
        <v>0.333333333333333</v>
      </c>
      <c r="H189" s="11" t="n">
        <f aca="false">IFERROR(__xludf.dummyfunction("""COMPUTED_VALUE"""),0.5)</f>
        <v>0.5</v>
      </c>
      <c r="I189" s="12" t="str">
        <f aca="false">IFERROR(__xludf.dummyfunction("""COMPUTED_VALUE"""),"AULA JS-006-")</f>
        <v>AULA JS-006-</v>
      </c>
      <c r="J189" s="12" t="str">
        <f aca="false">IFERROR(__xludf.dummyfunction("""COMPUTED_VALUE"""),"JUSTICIA SOCIAL")</f>
        <v>JUSTICIA SOCIAL</v>
      </c>
      <c r="K189" s="13" t="s">
        <v>15</v>
      </c>
      <c r="L189" s="14" t="n">
        <v>1</v>
      </c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</row>
    <row r="190" customFormat="false" ht="15.75" hidden="false" customHeight="true" outlineLevel="0" collapsed="false">
      <c r="A190" s="5" t="s">
        <v>84</v>
      </c>
      <c r="B190" s="6" t="n">
        <v>27569300</v>
      </c>
      <c r="C190" s="7" t="s">
        <v>13</v>
      </c>
      <c r="D190" s="16" t="s">
        <v>75</v>
      </c>
      <c r="E190" s="12" t="str">
        <f aca="false">IFERROR(__xludf.dummyfunction("""COMPUTED_VALUE"""),"Spanu Florencia Belén")</f>
        <v>Spanu Florencia Belén</v>
      </c>
      <c r="F190" s="10" t="str">
        <f aca="false">IFERROR(__xludf.dummyfunction("""COMPUTED_VALUE"""),"Jueves")</f>
        <v>Jueves</v>
      </c>
      <c r="G190" s="11" t="n">
        <f aca="false">IFERROR(__xludf.dummyfunction("""COMPUTED_VALUE"""),0.333333333333333)</f>
        <v>0.333333333333333</v>
      </c>
      <c r="H190" s="11" t="n">
        <f aca="false">IFERROR(__xludf.dummyfunction("""COMPUTED_VALUE"""),0.5)</f>
        <v>0.5</v>
      </c>
      <c r="I190" s="12" t="str">
        <f aca="false">IFERROR(__xludf.dummyfunction("""COMPUTED_VALUE"""),"AULA JS-006-")</f>
        <v>AULA JS-006-</v>
      </c>
      <c r="J190" s="12" t="str">
        <f aca="false">IFERROR(__xludf.dummyfunction("""COMPUTED_VALUE"""),"JUSTICIA SOCIAL")</f>
        <v>JUSTICIA SOCIAL</v>
      </c>
      <c r="K190" s="13" t="s">
        <v>15</v>
      </c>
      <c r="L190" s="14" t="n">
        <v>1</v>
      </c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 customFormat="false" ht="15.75" hidden="false" customHeight="true" outlineLevel="0" collapsed="false">
      <c r="A191" s="5" t="s">
        <v>84</v>
      </c>
      <c r="B191" s="6" t="n">
        <v>27569300</v>
      </c>
      <c r="C191" s="7" t="s">
        <v>16</v>
      </c>
      <c r="D191" s="16" t="s">
        <v>75</v>
      </c>
      <c r="E191" s="12" t="str">
        <f aca="false">IFERROR(__xludf.dummyfunction("""COMPUTED_VALUE"""),"Fariña Silvana Mariel")</f>
        <v>Fariña Silvana Mariel</v>
      </c>
      <c r="F191" s="10" t="str">
        <f aca="false">IFERROR(__xludf.dummyfunction("""COMPUTED_VALUE"""),"Sábado")</f>
        <v>Sábado</v>
      </c>
      <c r="G191" s="11" t="n">
        <f aca="false">IFERROR(__xludf.dummyfunction("""COMPUTED_VALUE"""),0.375)</f>
        <v>0.375</v>
      </c>
      <c r="H191" s="11" t="n">
        <f aca="false">IFERROR(__xludf.dummyfunction("""COMPUTED_VALUE"""),0.541666666666666)</f>
        <v>0.541666666666666</v>
      </c>
      <c r="I191" s="12" t="str">
        <f aca="false">IFERROR(__xludf.dummyfunction("""COMPUTED_VALUE"""),"AULA JS-006-")</f>
        <v>AULA JS-006-</v>
      </c>
      <c r="J191" s="12" t="str">
        <f aca="false">IFERROR(__xludf.dummyfunction("""COMPUTED_VALUE"""),"JUSTICIA SOCIAL")</f>
        <v>JUSTICIA SOCIAL</v>
      </c>
      <c r="K191" s="13" t="s">
        <v>15</v>
      </c>
      <c r="L191" s="14" t="n">
        <v>1</v>
      </c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 customFormat="false" ht="15.75" hidden="false" customHeight="true" outlineLevel="0" collapsed="false">
      <c r="A192" s="5" t="s">
        <v>85</v>
      </c>
      <c r="B192" s="6" t="n">
        <v>28145087</v>
      </c>
      <c r="C192" s="17" t="s">
        <v>17</v>
      </c>
      <c r="D192" s="16" t="s">
        <v>75</v>
      </c>
      <c r="E192" s="12" t="str">
        <f aca="false">IFERROR(__xludf.dummyfunction("""COMPUTED_VALUE"""),"Mannocchi Valentina")</f>
        <v>Mannocchi Valentina</v>
      </c>
      <c r="F192" s="10" t="str">
        <f aca="false">IFERROR(__xludf.dummyfunction("""COMPUTED_VALUE"""),"Martes")</f>
        <v>Martes</v>
      </c>
      <c r="G192" s="11" t="n">
        <f aca="false">IFERROR(__xludf.dummyfunction("""COMPUTED_VALUE"""),0.333333333333333)</f>
        <v>0.333333333333333</v>
      </c>
      <c r="H192" s="11" t="n">
        <f aca="false">IFERROR(__xludf.dummyfunction("""COMPUTED_VALUE"""),0.5)</f>
        <v>0.5</v>
      </c>
      <c r="I192" s="12" t="str">
        <f aca="false">IFERROR(__xludf.dummyfunction("""COMPUTED_VALUE"""),"AULA JS-006-")</f>
        <v>AULA JS-006-</v>
      </c>
      <c r="J192" s="12" t="str">
        <f aca="false">IFERROR(__xludf.dummyfunction("""COMPUTED_VALUE"""),"JUSTICIA SOCIAL")</f>
        <v>JUSTICIA SOCIAL</v>
      </c>
      <c r="K192" s="13" t="s">
        <v>15</v>
      </c>
      <c r="L192" s="14" t="n">
        <v>1</v>
      </c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 customFormat="false" ht="15.75" hidden="false" customHeight="true" outlineLevel="0" collapsed="false">
      <c r="A193" s="5" t="s">
        <v>85</v>
      </c>
      <c r="B193" s="6" t="n">
        <v>28145087</v>
      </c>
      <c r="C193" s="7" t="s">
        <v>13</v>
      </c>
      <c r="D193" s="16" t="s">
        <v>75</v>
      </c>
      <c r="E193" s="12" t="str">
        <f aca="false">IFERROR(__xludf.dummyfunction("""COMPUTED_VALUE"""),"Spanu Florencia Belén")</f>
        <v>Spanu Florencia Belén</v>
      </c>
      <c r="F193" s="10" t="str">
        <f aca="false">IFERROR(__xludf.dummyfunction("""COMPUTED_VALUE"""),"Jueves")</f>
        <v>Jueves</v>
      </c>
      <c r="G193" s="11" t="n">
        <f aca="false">IFERROR(__xludf.dummyfunction("""COMPUTED_VALUE"""),0.333333333333333)</f>
        <v>0.333333333333333</v>
      </c>
      <c r="H193" s="11" t="n">
        <f aca="false">IFERROR(__xludf.dummyfunction("""COMPUTED_VALUE"""),0.5)</f>
        <v>0.5</v>
      </c>
      <c r="I193" s="12" t="str">
        <f aca="false">IFERROR(__xludf.dummyfunction("""COMPUTED_VALUE"""),"AULA JS-006-")</f>
        <v>AULA JS-006-</v>
      </c>
      <c r="J193" s="12" t="str">
        <f aca="false">IFERROR(__xludf.dummyfunction("""COMPUTED_VALUE"""),"JUSTICIA SOCIAL")</f>
        <v>JUSTICIA SOCIAL</v>
      </c>
      <c r="K193" s="13" t="s">
        <v>15</v>
      </c>
      <c r="L193" s="14" t="n">
        <v>1</v>
      </c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</row>
    <row r="194" customFormat="false" ht="15.75" hidden="false" customHeight="true" outlineLevel="0" collapsed="false">
      <c r="A194" s="5" t="s">
        <v>85</v>
      </c>
      <c r="B194" s="6" t="n">
        <v>28145087</v>
      </c>
      <c r="C194" s="7" t="s">
        <v>16</v>
      </c>
      <c r="D194" s="16" t="s">
        <v>75</v>
      </c>
      <c r="E194" s="12" t="str">
        <f aca="false">IFERROR(__xludf.dummyfunction("""COMPUTED_VALUE"""),"Fariña Silvana Mariel")</f>
        <v>Fariña Silvana Mariel</v>
      </c>
      <c r="F194" s="10" t="str">
        <f aca="false">IFERROR(__xludf.dummyfunction("""COMPUTED_VALUE"""),"Sábado")</f>
        <v>Sábado</v>
      </c>
      <c r="G194" s="11" t="n">
        <f aca="false">IFERROR(__xludf.dummyfunction("""COMPUTED_VALUE"""),0.375)</f>
        <v>0.375</v>
      </c>
      <c r="H194" s="11" t="n">
        <f aca="false">IFERROR(__xludf.dummyfunction("""COMPUTED_VALUE"""),0.541666666666666)</f>
        <v>0.541666666666666</v>
      </c>
      <c r="I194" s="12" t="str">
        <f aca="false">IFERROR(__xludf.dummyfunction("""COMPUTED_VALUE"""),"AULA JS-006-")</f>
        <v>AULA JS-006-</v>
      </c>
      <c r="J194" s="12" t="str">
        <f aca="false">IFERROR(__xludf.dummyfunction("""COMPUTED_VALUE"""),"JUSTICIA SOCIAL")</f>
        <v>JUSTICIA SOCIAL</v>
      </c>
      <c r="K194" s="13" t="s">
        <v>15</v>
      </c>
      <c r="L194" s="14" t="n">
        <v>1</v>
      </c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 customFormat="false" ht="15.75" hidden="false" customHeight="true" outlineLevel="0" collapsed="false">
      <c r="A195" s="5" t="s">
        <v>86</v>
      </c>
      <c r="B195" s="6" t="n">
        <v>25334230</v>
      </c>
      <c r="C195" s="17" t="s">
        <v>17</v>
      </c>
      <c r="D195" s="16" t="s">
        <v>75</v>
      </c>
      <c r="E195" s="12" t="str">
        <f aca="false">IFERROR(__xludf.dummyfunction("""COMPUTED_VALUE"""),"Mannocchi Valentina")</f>
        <v>Mannocchi Valentina</v>
      </c>
      <c r="F195" s="10" t="str">
        <f aca="false">IFERROR(__xludf.dummyfunction("""COMPUTED_VALUE"""),"Martes")</f>
        <v>Martes</v>
      </c>
      <c r="G195" s="11" t="n">
        <f aca="false">IFERROR(__xludf.dummyfunction("""COMPUTED_VALUE"""),0.333333333333333)</f>
        <v>0.333333333333333</v>
      </c>
      <c r="H195" s="11" t="n">
        <f aca="false">IFERROR(__xludf.dummyfunction("""COMPUTED_VALUE"""),0.5)</f>
        <v>0.5</v>
      </c>
      <c r="I195" s="12" t="str">
        <f aca="false">IFERROR(__xludf.dummyfunction("""COMPUTED_VALUE"""),"AULA JS-006-")</f>
        <v>AULA JS-006-</v>
      </c>
      <c r="J195" s="12" t="str">
        <f aca="false">IFERROR(__xludf.dummyfunction("""COMPUTED_VALUE"""),"JUSTICIA SOCIAL")</f>
        <v>JUSTICIA SOCIAL</v>
      </c>
      <c r="K195" s="13" t="s">
        <v>15</v>
      </c>
      <c r="L195" s="14" t="n">
        <v>1</v>
      </c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 customFormat="false" ht="15.75" hidden="false" customHeight="true" outlineLevel="0" collapsed="false">
      <c r="A196" s="5" t="s">
        <v>86</v>
      </c>
      <c r="B196" s="6" t="n">
        <v>25334230</v>
      </c>
      <c r="C196" s="7" t="s">
        <v>13</v>
      </c>
      <c r="D196" s="16" t="s">
        <v>75</v>
      </c>
      <c r="E196" s="12" t="str">
        <f aca="false">IFERROR(__xludf.dummyfunction("""COMPUTED_VALUE"""),"Spanu Florencia Belén")</f>
        <v>Spanu Florencia Belén</v>
      </c>
      <c r="F196" s="10" t="str">
        <f aca="false">IFERROR(__xludf.dummyfunction("""COMPUTED_VALUE"""),"Jueves")</f>
        <v>Jueves</v>
      </c>
      <c r="G196" s="11" t="n">
        <f aca="false">IFERROR(__xludf.dummyfunction("""COMPUTED_VALUE"""),0.333333333333333)</f>
        <v>0.333333333333333</v>
      </c>
      <c r="H196" s="11" t="n">
        <f aca="false">IFERROR(__xludf.dummyfunction("""COMPUTED_VALUE"""),0.5)</f>
        <v>0.5</v>
      </c>
      <c r="I196" s="12" t="str">
        <f aca="false">IFERROR(__xludf.dummyfunction("""COMPUTED_VALUE"""),"AULA JS-006-")</f>
        <v>AULA JS-006-</v>
      </c>
      <c r="J196" s="12" t="str">
        <f aca="false">IFERROR(__xludf.dummyfunction("""COMPUTED_VALUE"""),"JUSTICIA SOCIAL")</f>
        <v>JUSTICIA SOCIAL</v>
      </c>
      <c r="K196" s="13" t="s">
        <v>15</v>
      </c>
      <c r="L196" s="14" t="n">
        <v>1</v>
      </c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 customFormat="false" ht="15.75" hidden="false" customHeight="true" outlineLevel="0" collapsed="false">
      <c r="A197" s="5" t="s">
        <v>86</v>
      </c>
      <c r="B197" s="6" t="n">
        <v>25334230</v>
      </c>
      <c r="C197" s="7" t="s">
        <v>16</v>
      </c>
      <c r="D197" s="16" t="s">
        <v>75</v>
      </c>
      <c r="E197" s="12" t="str">
        <f aca="false">IFERROR(__xludf.dummyfunction("""COMPUTED_VALUE"""),"Fariña Silvana Mariel")</f>
        <v>Fariña Silvana Mariel</v>
      </c>
      <c r="F197" s="10" t="str">
        <f aca="false">IFERROR(__xludf.dummyfunction("""COMPUTED_VALUE"""),"Sábado")</f>
        <v>Sábado</v>
      </c>
      <c r="G197" s="11" t="n">
        <f aca="false">IFERROR(__xludf.dummyfunction("""COMPUTED_VALUE"""),0.375)</f>
        <v>0.375</v>
      </c>
      <c r="H197" s="11" t="n">
        <f aca="false">IFERROR(__xludf.dummyfunction("""COMPUTED_VALUE"""),0.541666666666666)</f>
        <v>0.541666666666666</v>
      </c>
      <c r="I197" s="12" t="str">
        <f aca="false">IFERROR(__xludf.dummyfunction("""COMPUTED_VALUE"""),"AULA JS-006-")</f>
        <v>AULA JS-006-</v>
      </c>
      <c r="J197" s="12" t="str">
        <f aca="false">IFERROR(__xludf.dummyfunction("""COMPUTED_VALUE"""),"JUSTICIA SOCIAL")</f>
        <v>JUSTICIA SOCIAL</v>
      </c>
      <c r="K197" s="13" t="s">
        <v>15</v>
      </c>
      <c r="L197" s="14" t="n">
        <v>5</v>
      </c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 customFormat="false" ht="15.75" hidden="false" customHeight="true" outlineLevel="0" collapsed="false">
      <c r="A198" s="5" t="s">
        <v>87</v>
      </c>
      <c r="B198" s="6" t="n">
        <v>21943646</v>
      </c>
      <c r="C198" s="17" t="s">
        <v>17</v>
      </c>
      <c r="D198" s="16" t="s">
        <v>75</v>
      </c>
      <c r="E198" s="12" t="str">
        <f aca="false">IFERROR(__xludf.dummyfunction("""COMPUTED_VALUE"""),"Mannocchi Valentina")</f>
        <v>Mannocchi Valentina</v>
      </c>
      <c r="F198" s="10" t="str">
        <f aca="false">IFERROR(__xludf.dummyfunction("""COMPUTED_VALUE"""),"Martes")</f>
        <v>Martes</v>
      </c>
      <c r="G198" s="11" t="n">
        <f aca="false">IFERROR(__xludf.dummyfunction("""COMPUTED_VALUE"""),0.333333333333333)</f>
        <v>0.333333333333333</v>
      </c>
      <c r="H198" s="11" t="n">
        <f aca="false">IFERROR(__xludf.dummyfunction("""COMPUTED_VALUE"""),0.5)</f>
        <v>0.5</v>
      </c>
      <c r="I198" s="12" t="str">
        <f aca="false">IFERROR(__xludf.dummyfunction("""COMPUTED_VALUE"""),"AULA JS-006-")</f>
        <v>AULA JS-006-</v>
      </c>
      <c r="J198" s="12" t="str">
        <f aca="false">IFERROR(__xludf.dummyfunction("""COMPUTED_VALUE"""),"JUSTICIA SOCIAL")</f>
        <v>JUSTICIA SOCIAL</v>
      </c>
      <c r="K198" s="13" t="s">
        <v>15</v>
      </c>
      <c r="L198" s="14" t="n">
        <v>5</v>
      </c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 customFormat="false" ht="15.75" hidden="false" customHeight="true" outlineLevel="0" collapsed="false">
      <c r="A199" s="5" t="s">
        <v>87</v>
      </c>
      <c r="B199" s="6" t="n">
        <v>21943646</v>
      </c>
      <c r="C199" s="7" t="s">
        <v>13</v>
      </c>
      <c r="D199" s="16" t="s">
        <v>75</v>
      </c>
      <c r="E199" s="12" t="str">
        <f aca="false">IFERROR(__xludf.dummyfunction("""COMPUTED_VALUE"""),"Spanu Florencia Belén")</f>
        <v>Spanu Florencia Belén</v>
      </c>
      <c r="F199" s="10" t="str">
        <f aca="false">IFERROR(__xludf.dummyfunction("""COMPUTED_VALUE"""),"Jueves")</f>
        <v>Jueves</v>
      </c>
      <c r="G199" s="11" t="n">
        <f aca="false">IFERROR(__xludf.dummyfunction("""COMPUTED_VALUE"""),0.333333333333333)</f>
        <v>0.333333333333333</v>
      </c>
      <c r="H199" s="11" t="n">
        <f aca="false">IFERROR(__xludf.dummyfunction("""COMPUTED_VALUE"""),0.5)</f>
        <v>0.5</v>
      </c>
      <c r="I199" s="12" t="str">
        <f aca="false">IFERROR(__xludf.dummyfunction("""COMPUTED_VALUE"""),"AULA JS-006-")</f>
        <v>AULA JS-006-</v>
      </c>
      <c r="J199" s="12" t="str">
        <f aca="false">IFERROR(__xludf.dummyfunction("""COMPUTED_VALUE"""),"JUSTICIA SOCIAL")</f>
        <v>JUSTICIA SOCIAL</v>
      </c>
      <c r="K199" s="13" t="s">
        <v>15</v>
      </c>
      <c r="L199" s="14" t="n">
        <v>5</v>
      </c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</row>
    <row r="200" customFormat="false" ht="15.75" hidden="false" customHeight="true" outlineLevel="0" collapsed="false">
      <c r="A200" s="5" t="s">
        <v>87</v>
      </c>
      <c r="B200" s="6" t="n">
        <v>21943646</v>
      </c>
      <c r="C200" s="7" t="s">
        <v>16</v>
      </c>
      <c r="D200" s="16" t="s">
        <v>75</v>
      </c>
      <c r="E200" s="12" t="str">
        <f aca="false">IFERROR(__xludf.dummyfunction("""COMPUTED_VALUE"""),"Fariña Silvana Mariel")</f>
        <v>Fariña Silvana Mariel</v>
      </c>
      <c r="F200" s="10" t="str">
        <f aca="false">IFERROR(__xludf.dummyfunction("""COMPUTED_VALUE"""),"Sábado")</f>
        <v>Sábado</v>
      </c>
      <c r="G200" s="11" t="n">
        <f aca="false">IFERROR(__xludf.dummyfunction("""COMPUTED_VALUE"""),0.375)</f>
        <v>0.375</v>
      </c>
      <c r="H200" s="11" t="n">
        <f aca="false">IFERROR(__xludf.dummyfunction("""COMPUTED_VALUE"""),0.541666666666666)</f>
        <v>0.541666666666666</v>
      </c>
      <c r="I200" s="12" t="str">
        <f aca="false">IFERROR(__xludf.dummyfunction("""COMPUTED_VALUE"""),"AULA JS-006-")</f>
        <v>AULA JS-006-</v>
      </c>
      <c r="J200" s="12" t="str">
        <f aca="false">IFERROR(__xludf.dummyfunction("""COMPUTED_VALUE"""),"JUSTICIA SOCIAL")</f>
        <v>JUSTICIA SOCIAL</v>
      </c>
      <c r="K200" s="13" t="s">
        <v>15</v>
      </c>
      <c r="L200" s="14" t="n">
        <v>5</v>
      </c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 customFormat="false" ht="15.75" hidden="false" customHeight="true" outlineLevel="0" collapsed="false">
      <c r="A201" s="5" t="s">
        <v>88</v>
      </c>
      <c r="B201" s="6" t="n">
        <v>36647239</v>
      </c>
      <c r="C201" s="17" t="s">
        <v>17</v>
      </c>
      <c r="D201" s="16" t="s">
        <v>75</v>
      </c>
      <c r="E201" s="12" t="str">
        <f aca="false">IFERROR(__xludf.dummyfunction("""COMPUTED_VALUE"""),"Mannocchi Valentina")</f>
        <v>Mannocchi Valentina</v>
      </c>
      <c r="F201" s="10" t="str">
        <f aca="false">IFERROR(__xludf.dummyfunction("""COMPUTED_VALUE"""),"Martes")</f>
        <v>Martes</v>
      </c>
      <c r="G201" s="11" t="n">
        <f aca="false">IFERROR(__xludf.dummyfunction("""COMPUTED_VALUE"""),0.333333333333333)</f>
        <v>0.333333333333333</v>
      </c>
      <c r="H201" s="11" t="n">
        <f aca="false">IFERROR(__xludf.dummyfunction("""COMPUTED_VALUE"""),0.5)</f>
        <v>0.5</v>
      </c>
      <c r="I201" s="12" t="str">
        <f aca="false">IFERROR(__xludf.dummyfunction("""COMPUTED_VALUE"""),"AULA JS-006-")</f>
        <v>AULA JS-006-</v>
      </c>
      <c r="J201" s="12" t="str">
        <f aca="false">IFERROR(__xludf.dummyfunction("""COMPUTED_VALUE"""),"JUSTICIA SOCIAL")</f>
        <v>JUSTICIA SOCIAL</v>
      </c>
      <c r="K201" s="13" t="s">
        <v>15</v>
      </c>
      <c r="L201" s="14" t="n">
        <v>5</v>
      </c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</row>
    <row r="202" customFormat="false" ht="15.75" hidden="false" customHeight="true" outlineLevel="0" collapsed="false">
      <c r="A202" s="5" t="s">
        <v>88</v>
      </c>
      <c r="B202" s="6" t="n">
        <v>36647239</v>
      </c>
      <c r="C202" s="7" t="s">
        <v>13</v>
      </c>
      <c r="D202" s="16" t="s">
        <v>75</v>
      </c>
      <c r="E202" s="12" t="str">
        <f aca="false">IFERROR(__xludf.dummyfunction("""COMPUTED_VALUE"""),"Spanu Florencia Belén")</f>
        <v>Spanu Florencia Belén</v>
      </c>
      <c r="F202" s="10" t="str">
        <f aca="false">IFERROR(__xludf.dummyfunction("""COMPUTED_VALUE"""),"Jueves")</f>
        <v>Jueves</v>
      </c>
      <c r="G202" s="11" t="n">
        <f aca="false">IFERROR(__xludf.dummyfunction("""COMPUTED_VALUE"""),0.333333333333333)</f>
        <v>0.333333333333333</v>
      </c>
      <c r="H202" s="11" t="n">
        <f aca="false">IFERROR(__xludf.dummyfunction("""COMPUTED_VALUE"""),0.5)</f>
        <v>0.5</v>
      </c>
      <c r="I202" s="12" t="str">
        <f aca="false">IFERROR(__xludf.dummyfunction("""COMPUTED_VALUE"""),"AULA JS-006-")</f>
        <v>AULA JS-006-</v>
      </c>
      <c r="J202" s="12" t="str">
        <f aca="false">IFERROR(__xludf.dummyfunction("""COMPUTED_VALUE"""),"JUSTICIA SOCIAL")</f>
        <v>JUSTICIA SOCIAL</v>
      </c>
      <c r="K202" s="13" t="s">
        <v>15</v>
      </c>
      <c r="L202" s="14" t="n">
        <v>5</v>
      </c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 customFormat="false" ht="15.75" hidden="false" customHeight="true" outlineLevel="0" collapsed="false">
      <c r="A203" s="5" t="s">
        <v>88</v>
      </c>
      <c r="B203" s="6" t="n">
        <v>36647239</v>
      </c>
      <c r="C203" s="7" t="s">
        <v>16</v>
      </c>
      <c r="D203" s="16" t="s">
        <v>75</v>
      </c>
      <c r="E203" s="12" t="str">
        <f aca="false">IFERROR(__xludf.dummyfunction("""COMPUTED_VALUE"""),"Fariña Silvana Mariel")</f>
        <v>Fariña Silvana Mariel</v>
      </c>
      <c r="F203" s="10" t="str">
        <f aca="false">IFERROR(__xludf.dummyfunction("""COMPUTED_VALUE"""),"Sábado")</f>
        <v>Sábado</v>
      </c>
      <c r="G203" s="11" t="n">
        <f aca="false">IFERROR(__xludf.dummyfunction("""COMPUTED_VALUE"""),0.375)</f>
        <v>0.375</v>
      </c>
      <c r="H203" s="11" t="n">
        <f aca="false">IFERROR(__xludf.dummyfunction("""COMPUTED_VALUE"""),0.541666666666666)</f>
        <v>0.541666666666666</v>
      </c>
      <c r="I203" s="12" t="str">
        <f aca="false">IFERROR(__xludf.dummyfunction("""COMPUTED_VALUE"""),"AULA JS-006-")</f>
        <v>AULA JS-006-</v>
      </c>
      <c r="J203" s="12" t="str">
        <f aca="false">IFERROR(__xludf.dummyfunction("""COMPUTED_VALUE"""),"JUSTICIA SOCIAL")</f>
        <v>JUSTICIA SOCIAL</v>
      </c>
      <c r="K203" s="13" t="s">
        <v>15</v>
      </c>
      <c r="L203" s="14" t="n">
        <v>1</v>
      </c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</row>
    <row r="204" customFormat="false" ht="15.75" hidden="false" customHeight="true" outlineLevel="0" collapsed="false">
      <c r="A204" s="18" t="s">
        <v>89</v>
      </c>
      <c r="B204" s="6" t="n">
        <v>34398623</v>
      </c>
      <c r="C204" s="17" t="s">
        <v>17</v>
      </c>
      <c r="D204" s="16" t="s">
        <v>75</v>
      </c>
      <c r="E204" s="12" t="str">
        <f aca="false">IFERROR(__xludf.dummyfunction("""COMPUTED_VALUE"""),"Mannocchi Valentina")</f>
        <v>Mannocchi Valentina</v>
      </c>
      <c r="F204" s="10" t="str">
        <f aca="false">IFERROR(__xludf.dummyfunction("""COMPUTED_VALUE"""),"Martes")</f>
        <v>Martes</v>
      </c>
      <c r="G204" s="11" t="n">
        <f aca="false">IFERROR(__xludf.dummyfunction("""COMPUTED_VALUE"""),0.333333333333333)</f>
        <v>0.333333333333333</v>
      </c>
      <c r="H204" s="11" t="n">
        <f aca="false">IFERROR(__xludf.dummyfunction("""COMPUTED_VALUE"""),0.5)</f>
        <v>0.5</v>
      </c>
      <c r="I204" s="12" t="str">
        <f aca="false">IFERROR(__xludf.dummyfunction("""COMPUTED_VALUE"""),"AULA JS-006-")</f>
        <v>AULA JS-006-</v>
      </c>
      <c r="J204" s="12" t="str">
        <f aca="false">IFERROR(__xludf.dummyfunction("""COMPUTED_VALUE"""),"JUSTICIA SOCIAL")</f>
        <v>JUSTICIA SOCIAL</v>
      </c>
      <c r="K204" s="13" t="s">
        <v>15</v>
      </c>
      <c r="L204" s="14" t="n">
        <v>1</v>
      </c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</row>
    <row r="205" customFormat="false" ht="15.75" hidden="false" customHeight="true" outlineLevel="0" collapsed="false">
      <c r="A205" s="18" t="s">
        <v>89</v>
      </c>
      <c r="B205" s="6" t="n">
        <v>34398623</v>
      </c>
      <c r="C205" s="7" t="s">
        <v>13</v>
      </c>
      <c r="D205" s="16" t="s">
        <v>75</v>
      </c>
      <c r="E205" s="12" t="str">
        <f aca="false">IFERROR(__xludf.dummyfunction("""COMPUTED_VALUE"""),"Spanu Florencia Belén")</f>
        <v>Spanu Florencia Belén</v>
      </c>
      <c r="F205" s="10" t="str">
        <f aca="false">IFERROR(__xludf.dummyfunction("""COMPUTED_VALUE"""),"Jueves")</f>
        <v>Jueves</v>
      </c>
      <c r="G205" s="11" t="n">
        <f aca="false">IFERROR(__xludf.dummyfunction("""COMPUTED_VALUE"""),0.333333333333333)</f>
        <v>0.333333333333333</v>
      </c>
      <c r="H205" s="11" t="n">
        <f aca="false">IFERROR(__xludf.dummyfunction("""COMPUTED_VALUE"""),0.5)</f>
        <v>0.5</v>
      </c>
      <c r="I205" s="12" t="str">
        <f aca="false">IFERROR(__xludf.dummyfunction("""COMPUTED_VALUE"""),"AULA JS-006-")</f>
        <v>AULA JS-006-</v>
      </c>
      <c r="J205" s="12" t="str">
        <f aca="false">IFERROR(__xludf.dummyfunction("""COMPUTED_VALUE"""),"JUSTICIA SOCIAL")</f>
        <v>JUSTICIA SOCIAL</v>
      </c>
      <c r="K205" s="13" t="s">
        <v>15</v>
      </c>
      <c r="L205" s="14" t="n">
        <v>1</v>
      </c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</row>
    <row r="206" customFormat="false" ht="15.75" hidden="false" customHeight="true" outlineLevel="0" collapsed="false">
      <c r="A206" s="18" t="s">
        <v>89</v>
      </c>
      <c r="B206" s="6" t="n">
        <v>34398623</v>
      </c>
      <c r="C206" s="7" t="s">
        <v>16</v>
      </c>
      <c r="D206" s="16" t="s">
        <v>75</v>
      </c>
      <c r="E206" s="12" t="str">
        <f aca="false">IFERROR(__xludf.dummyfunction("""COMPUTED_VALUE"""),"Fariña Silvana Mariel")</f>
        <v>Fariña Silvana Mariel</v>
      </c>
      <c r="F206" s="10" t="str">
        <f aca="false">IFERROR(__xludf.dummyfunction("""COMPUTED_VALUE"""),"Sábado")</f>
        <v>Sábado</v>
      </c>
      <c r="G206" s="11" t="n">
        <f aca="false">IFERROR(__xludf.dummyfunction("""COMPUTED_VALUE"""),0.375)</f>
        <v>0.375</v>
      </c>
      <c r="H206" s="11" t="n">
        <f aca="false">IFERROR(__xludf.dummyfunction("""COMPUTED_VALUE"""),0.541666666666666)</f>
        <v>0.541666666666666</v>
      </c>
      <c r="I206" s="12" t="str">
        <f aca="false">IFERROR(__xludf.dummyfunction("""COMPUTED_VALUE"""),"AULA JS-006-")</f>
        <v>AULA JS-006-</v>
      </c>
      <c r="J206" s="12" t="str">
        <f aca="false">IFERROR(__xludf.dummyfunction("""COMPUTED_VALUE"""),"JUSTICIA SOCIAL")</f>
        <v>JUSTICIA SOCIAL</v>
      </c>
      <c r="K206" s="13" t="s">
        <v>15</v>
      </c>
      <c r="L206" s="14" t="n">
        <v>6</v>
      </c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</row>
    <row r="207" customFormat="false" ht="15.75" hidden="false" customHeight="true" outlineLevel="0" collapsed="false">
      <c r="A207" s="5" t="s">
        <v>90</v>
      </c>
      <c r="B207" s="6" t="n">
        <v>44022070</v>
      </c>
      <c r="C207" s="17" t="s">
        <v>17</v>
      </c>
      <c r="D207" s="16" t="s">
        <v>75</v>
      </c>
      <c r="E207" s="12" t="str">
        <f aca="false">IFERROR(__xludf.dummyfunction("""COMPUTED_VALUE"""),"Mannocchi Valentina")</f>
        <v>Mannocchi Valentina</v>
      </c>
      <c r="F207" s="10" t="str">
        <f aca="false">IFERROR(__xludf.dummyfunction("""COMPUTED_VALUE"""),"Martes")</f>
        <v>Martes</v>
      </c>
      <c r="G207" s="11" t="n">
        <f aca="false">IFERROR(__xludf.dummyfunction("""COMPUTED_VALUE"""),0.333333333333333)</f>
        <v>0.333333333333333</v>
      </c>
      <c r="H207" s="11" t="n">
        <f aca="false">IFERROR(__xludf.dummyfunction("""COMPUTED_VALUE"""),0.5)</f>
        <v>0.5</v>
      </c>
      <c r="I207" s="12" t="str">
        <f aca="false">IFERROR(__xludf.dummyfunction("""COMPUTED_VALUE"""),"AULA JS-006-")</f>
        <v>AULA JS-006-</v>
      </c>
      <c r="J207" s="12" t="str">
        <f aca="false">IFERROR(__xludf.dummyfunction("""COMPUTED_VALUE"""),"JUSTICIA SOCIAL")</f>
        <v>JUSTICIA SOCIAL</v>
      </c>
      <c r="K207" s="13" t="s">
        <v>15</v>
      </c>
      <c r="L207" s="14" t="n">
        <v>6</v>
      </c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 customFormat="false" ht="15.75" hidden="false" customHeight="true" outlineLevel="0" collapsed="false">
      <c r="A208" s="5" t="s">
        <v>90</v>
      </c>
      <c r="B208" s="6" t="n">
        <v>44022070</v>
      </c>
      <c r="C208" s="7" t="s">
        <v>13</v>
      </c>
      <c r="D208" s="16" t="s">
        <v>75</v>
      </c>
      <c r="E208" s="12" t="str">
        <f aca="false">IFERROR(__xludf.dummyfunction("""COMPUTED_VALUE"""),"Spanu Florencia Belén")</f>
        <v>Spanu Florencia Belén</v>
      </c>
      <c r="F208" s="10" t="str">
        <f aca="false">IFERROR(__xludf.dummyfunction("""COMPUTED_VALUE"""),"Jueves")</f>
        <v>Jueves</v>
      </c>
      <c r="G208" s="11" t="n">
        <f aca="false">IFERROR(__xludf.dummyfunction("""COMPUTED_VALUE"""),0.333333333333333)</f>
        <v>0.333333333333333</v>
      </c>
      <c r="H208" s="11" t="n">
        <f aca="false">IFERROR(__xludf.dummyfunction("""COMPUTED_VALUE"""),0.5)</f>
        <v>0.5</v>
      </c>
      <c r="I208" s="12" t="str">
        <f aca="false">IFERROR(__xludf.dummyfunction("""COMPUTED_VALUE"""),"AULA JS-006-")</f>
        <v>AULA JS-006-</v>
      </c>
      <c r="J208" s="12" t="str">
        <f aca="false">IFERROR(__xludf.dummyfunction("""COMPUTED_VALUE"""),"JUSTICIA SOCIAL")</f>
        <v>JUSTICIA SOCIAL</v>
      </c>
      <c r="K208" s="13" t="s">
        <v>15</v>
      </c>
      <c r="L208" s="14" t="n">
        <v>6</v>
      </c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 customFormat="false" ht="15.75" hidden="false" customHeight="true" outlineLevel="0" collapsed="false">
      <c r="A209" s="5" t="s">
        <v>90</v>
      </c>
      <c r="B209" s="6" t="n">
        <v>44022070</v>
      </c>
      <c r="C209" s="7" t="s">
        <v>16</v>
      </c>
      <c r="D209" s="16" t="s">
        <v>75</v>
      </c>
      <c r="E209" s="12" t="str">
        <f aca="false">IFERROR(__xludf.dummyfunction("""COMPUTED_VALUE"""),"Fariña Silvana Mariel")</f>
        <v>Fariña Silvana Mariel</v>
      </c>
      <c r="F209" s="10" t="str">
        <f aca="false">IFERROR(__xludf.dummyfunction("""COMPUTED_VALUE"""),"Sábado")</f>
        <v>Sábado</v>
      </c>
      <c r="G209" s="11" t="n">
        <f aca="false">IFERROR(__xludf.dummyfunction("""COMPUTED_VALUE"""),0.375)</f>
        <v>0.375</v>
      </c>
      <c r="H209" s="11" t="n">
        <f aca="false">IFERROR(__xludf.dummyfunction("""COMPUTED_VALUE"""),0.541666666666666)</f>
        <v>0.541666666666666</v>
      </c>
      <c r="I209" s="12" t="str">
        <f aca="false">IFERROR(__xludf.dummyfunction("""COMPUTED_VALUE"""),"AULA JS-006-")</f>
        <v>AULA JS-006-</v>
      </c>
      <c r="J209" s="12" t="str">
        <f aca="false">IFERROR(__xludf.dummyfunction("""COMPUTED_VALUE"""),"JUSTICIA SOCIAL")</f>
        <v>JUSTICIA SOCIAL</v>
      </c>
      <c r="K209" s="13" t="s">
        <v>15</v>
      </c>
      <c r="L209" s="14" t="n">
        <v>4</v>
      </c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 customFormat="false" ht="15.75" hidden="false" customHeight="true" outlineLevel="0" collapsed="false">
      <c r="A210" s="5" t="s">
        <v>91</v>
      </c>
      <c r="B210" s="6" t="n">
        <v>49182300</v>
      </c>
      <c r="C210" s="17" t="s">
        <v>17</v>
      </c>
      <c r="D210" s="16" t="s">
        <v>75</v>
      </c>
      <c r="E210" s="12" t="str">
        <f aca="false">IFERROR(__xludf.dummyfunction("""COMPUTED_VALUE"""),"Mannocchi Valentina")</f>
        <v>Mannocchi Valentina</v>
      </c>
      <c r="F210" s="10" t="str">
        <f aca="false">IFERROR(__xludf.dummyfunction("""COMPUTED_VALUE"""),"Martes")</f>
        <v>Martes</v>
      </c>
      <c r="G210" s="11" t="n">
        <f aca="false">IFERROR(__xludf.dummyfunction("""COMPUTED_VALUE"""),0.333333333333333)</f>
        <v>0.333333333333333</v>
      </c>
      <c r="H210" s="11" t="n">
        <f aca="false">IFERROR(__xludf.dummyfunction("""COMPUTED_VALUE"""),0.5)</f>
        <v>0.5</v>
      </c>
      <c r="I210" s="12" t="str">
        <f aca="false">IFERROR(__xludf.dummyfunction("""COMPUTED_VALUE"""),"AULA JS-006-")</f>
        <v>AULA JS-006-</v>
      </c>
      <c r="J210" s="12" t="str">
        <f aca="false">IFERROR(__xludf.dummyfunction("""COMPUTED_VALUE"""),"JUSTICIA SOCIAL")</f>
        <v>JUSTICIA SOCIAL</v>
      </c>
      <c r="K210" s="13" t="s">
        <v>15</v>
      </c>
      <c r="L210" s="14" t="n">
        <v>4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</row>
    <row r="211" customFormat="false" ht="15.75" hidden="false" customHeight="true" outlineLevel="0" collapsed="false">
      <c r="A211" s="5" t="s">
        <v>91</v>
      </c>
      <c r="B211" s="6" t="n">
        <v>49182300</v>
      </c>
      <c r="C211" s="7" t="s">
        <v>13</v>
      </c>
      <c r="D211" s="16" t="s">
        <v>75</v>
      </c>
      <c r="E211" s="12" t="str">
        <f aca="false">IFERROR(__xludf.dummyfunction("""COMPUTED_VALUE"""),"Spanu Florencia Belén")</f>
        <v>Spanu Florencia Belén</v>
      </c>
      <c r="F211" s="10" t="str">
        <f aca="false">IFERROR(__xludf.dummyfunction("""COMPUTED_VALUE"""),"Jueves")</f>
        <v>Jueves</v>
      </c>
      <c r="G211" s="11" t="n">
        <f aca="false">IFERROR(__xludf.dummyfunction("""COMPUTED_VALUE"""),0.333333333333333)</f>
        <v>0.333333333333333</v>
      </c>
      <c r="H211" s="11" t="n">
        <f aca="false">IFERROR(__xludf.dummyfunction("""COMPUTED_VALUE"""),0.5)</f>
        <v>0.5</v>
      </c>
      <c r="I211" s="12" t="str">
        <f aca="false">IFERROR(__xludf.dummyfunction("""COMPUTED_VALUE"""),"AULA JS-006-")</f>
        <v>AULA JS-006-</v>
      </c>
      <c r="J211" s="12" t="str">
        <f aca="false">IFERROR(__xludf.dummyfunction("""COMPUTED_VALUE"""),"JUSTICIA SOCIAL")</f>
        <v>JUSTICIA SOCIAL</v>
      </c>
      <c r="K211" s="13" t="s">
        <v>15</v>
      </c>
      <c r="L211" s="14" t="n">
        <v>4</v>
      </c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</row>
    <row r="212" customFormat="false" ht="15.75" hidden="false" customHeight="true" outlineLevel="0" collapsed="false">
      <c r="A212" s="5" t="s">
        <v>91</v>
      </c>
      <c r="B212" s="6" t="n">
        <v>49182300</v>
      </c>
      <c r="C212" s="7" t="s">
        <v>16</v>
      </c>
      <c r="D212" s="16" t="s">
        <v>75</v>
      </c>
      <c r="E212" s="12" t="str">
        <f aca="false">IFERROR(__xludf.dummyfunction("""COMPUTED_VALUE"""),"Fariña Silvana Mariel")</f>
        <v>Fariña Silvana Mariel</v>
      </c>
      <c r="F212" s="10" t="str">
        <f aca="false">IFERROR(__xludf.dummyfunction("""COMPUTED_VALUE"""),"Sábado")</f>
        <v>Sábado</v>
      </c>
      <c r="G212" s="11" t="n">
        <f aca="false">IFERROR(__xludf.dummyfunction("""COMPUTED_VALUE"""),0.375)</f>
        <v>0.375</v>
      </c>
      <c r="H212" s="11" t="n">
        <f aca="false">IFERROR(__xludf.dummyfunction("""COMPUTED_VALUE"""),0.541666666666666)</f>
        <v>0.541666666666666</v>
      </c>
      <c r="I212" s="12" t="str">
        <f aca="false">IFERROR(__xludf.dummyfunction("""COMPUTED_VALUE"""),"AULA JS-006-")</f>
        <v>AULA JS-006-</v>
      </c>
      <c r="J212" s="12" t="str">
        <f aca="false">IFERROR(__xludf.dummyfunction("""COMPUTED_VALUE"""),"JUSTICIA SOCIAL")</f>
        <v>JUSTICIA SOCIAL</v>
      </c>
      <c r="K212" s="13" t="s">
        <v>15</v>
      </c>
      <c r="L212" s="14" t="n">
        <v>5</v>
      </c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</row>
    <row r="213" customFormat="false" ht="15.75" hidden="false" customHeight="true" outlineLevel="0" collapsed="false">
      <c r="A213" s="5" t="s">
        <v>92</v>
      </c>
      <c r="B213" s="6" t="n">
        <v>32870620</v>
      </c>
      <c r="C213" s="17" t="s">
        <v>17</v>
      </c>
      <c r="D213" s="16" t="s">
        <v>75</v>
      </c>
      <c r="E213" s="12" t="str">
        <f aca="false">IFERROR(__xludf.dummyfunction("""COMPUTED_VALUE"""),"Mannocchi Valentina")</f>
        <v>Mannocchi Valentina</v>
      </c>
      <c r="F213" s="10" t="str">
        <f aca="false">IFERROR(__xludf.dummyfunction("""COMPUTED_VALUE"""),"Martes")</f>
        <v>Martes</v>
      </c>
      <c r="G213" s="11" t="n">
        <f aca="false">IFERROR(__xludf.dummyfunction("""COMPUTED_VALUE"""),0.333333333333333)</f>
        <v>0.333333333333333</v>
      </c>
      <c r="H213" s="11" t="n">
        <f aca="false">IFERROR(__xludf.dummyfunction("""COMPUTED_VALUE"""),0.5)</f>
        <v>0.5</v>
      </c>
      <c r="I213" s="12" t="str">
        <f aca="false">IFERROR(__xludf.dummyfunction("""COMPUTED_VALUE"""),"AULA JS-006-")</f>
        <v>AULA JS-006-</v>
      </c>
      <c r="J213" s="12" t="str">
        <f aca="false">IFERROR(__xludf.dummyfunction("""COMPUTED_VALUE"""),"JUSTICIA SOCIAL")</f>
        <v>JUSTICIA SOCIAL</v>
      </c>
      <c r="K213" s="13" t="s">
        <v>15</v>
      </c>
      <c r="L213" s="14" t="n">
        <v>5</v>
      </c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</row>
    <row r="214" customFormat="false" ht="15.75" hidden="false" customHeight="true" outlineLevel="0" collapsed="false">
      <c r="A214" s="5" t="s">
        <v>92</v>
      </c>
      <c r="B214" s="6" t="n">
        <v>32870620</v>
      </c>
      <c r="C214" s="7" t="s">
        <v>13</v>
      </c>
      <c r="D214" s="16" t="s">
        <v>75</v>
      </c>
      <c r="E214" s="12" t="str">
        <f aca="false">IFERROR(__xludf.dummyfunction("""COMPUTED_VALUE"""),"Spanu Florencia Belén")</f>
        <v>Spanu Florencia Belén</v>
      </c>
      <c r="F214" s="10" t="str">
        <f aca="false">IFERROR(__xludf.dummyfunction("""COMPUTED_VALUE"""),"Jueves")</f>
        <v>Jueves</v>
      </c>
      <c r="G214" s="11" t="n">
        <f aca="false">IFERROR(__xludf.dummyfunction("""COMPUTED_VALUE"""),0.333333333333333)</f>
        <v>0.333333333333333</v>
      </c>
      <c r="H214" s="11" t="n">
        <f aca="false">IFERROR(__xludf.dummyfunction("""COMPUTED_VALUE"""),0.5)</f>
        <v>0.5</v>
      </c>
      <c r="I214" s="12" t="str">
        <f aca="false">IFERROR(__xludf.dummyfunction("""COMPUTED_VALUE"""),"AULA JS-006-")</f>
        <v>AULA JS-006-</v>
      </c>
      <c r="J214" s="12" t="str">
        <f aca="false">IFERROR(__xludf.dummyfunction("""COMPUTED_VALUE"""),"JUSTICIA SOCIAL")</f>
        <v>JUSTICIA SOCIAL</v>
      </c>
      <c r="K214" s="13" t="s">
        <v>15</v>
      </c>
      <c r="L214" s="14" t="n">
        <v>5</v>
      </c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</row>
    <row r="215" customFormat="false" ht="15.75" hidden="false" customHeight="true" outlineLevel="0" collapsed="false">
      <c r="A215" s="5" t="s">
        <v>92</v>
      </c>
      <c r="B215" s="6" t="n">
        <v>32870620</v>
      </c>
      <c r="C215" s="7" t="s">
        <v>16</v>
      </c>
      <c r="D215" s="16" t="s">
        <v>75</v>
      </c>
      <c r="E215" s="12" t="str">
        <f aca="false">IFERROR(__xludf.dummyfunction("""COMPUTED_VALUE"""),"Fariña Silvana Mariel")</f>
        <v>Fariña Silvana Mariel</v>
      </c>
      <c r="F215" s="10" t="str">
        <f aca="false">IFERROR(__xludf.dummyfunction("""COMPUTED_VALUE"""),"Sábado")</f>
        <v>Sábado</v>
      </c>
      <c r="G215" s="11" t="n">
        <f aca="false">IFERROR(__xludf.dummyfunction("""COMPUTED_VALUE"""),0.375)</f>
        <v>0.375</v>
      </c>
      <c r="H215" s="11" t="n">
        <f aca="false">IFERROR(__xludf.dummyfunction("""COMPUTED_VALUE"""),0.541666666666666)</f>
        <v>0.541666666666666</v>
      </c>
      <c r="I215" s="12" t="str">
        <f aca="false">IFERROR(__xludf.dummyfunction("""COMPUTED_VALUE"""),"AULA JS-006-")</f>
        <v>AULA JS-006-</v>
      </c>
      <c r="J215" s="12" t="str">
        <f aca="false">IFERROR(__xludf.dummyfunction("""COMPUTED_VALUE"""),"JUSTICIA SOCIAL")</f>
        <v>JUSTICIA SOCIAL</v>
      </c>
      <c r="K215" s="13" t="s">
        <v>93</v>
      </c>
      <c r="L215" s="14" t="n">
        <v>1</v>
      </c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</row>
    <row r="216" customFormat="false" ht="15.75" hidden="false" customHeight="true" outlineLevel="0" collapsed="false">
      <c r="A216" s="5" t="s">
        <v>94</v>
      </c>
      <c r="B216" s="6" t="n">
        <v>30014145</v>
      </c>
      <c r="C216" s="17" t="s">
        <v>17</v>
      </c>
      <c r="D216" s="16" t="s">
        <v>75</v>
      </c>
      <c r="E216" s="12" t="str">
        <f aca="false">IFERROR(__xludf.dummyfunction("""COMPUTED_VALUE"""),"Mannocchi Valentina")</f>
        <v>Mannocchi Valentina</v>
      </c>
      <c r="F216" s="10" t="str">
        <f aca="false">IFERROR(__xludf.dummyfunction("""COMPUTED_VALUE"""),"Martes")</f>
        <v>Martes</v>
      </c>
      <c r="G216" s="11" t="n">
        <f aca="false">IFERROR(__xludf.dummyfunction("""COMPUTED_VALUE"""),0.333333333333333)</f>
        <v>0.333333333333333</v>
      </c>
      <c r="H216" s="11" t="n">
        <f aca="false">IFERROR(__xludf.dummyfunction("""COMPUTED_VALUE"""),0.5)</f>
        <v>0.5</v>
      </c>
      <c r="I216" s="12" t="str">
        <f aca="false">IFERROR(__xludf.dummyfunction("""COMPUTED_VALUE"""),"AULA JS-006-")</f>
        <v>AULA JS-006-</v>
      </c>
      <c r="J216" s="12" t="str">
        <f aca="false">IFERROR(__xludf.dummyfunction("""COMPUTED_VALUE"""),"JUSTICIA SOCIAL")</f>
        <v>JUSTICIA SOCIAL</v>
      </c>
      <c r="K216" s="13" t="s">
        <v>93</v>
      </c>
      <c r="L216" s="14" t="n">
        <v>1</v>
      </c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</row>
    <row r="217" customFormat="false" ht="15.75" hidden="false" customHeight="true" outlineLevel="0" collapsed="false">
      <c r="A217" s="5" t="s">
        <v>94</v>
      </c>
      <c r="B217" s="6" t="n">
        <v>30014145</v>
      </c>
      <c r="C217" s="7" t="s">
        <v>13</v>
      </c>
      <c r="D217" s="16" t="s">
        <v>75</v>
      </c>
      <c r="E217" s="12" t="str">
        <f aca="false">IFERROR(__xludf.dummyfunction("""COMPUTED_VALUE"""),"Spanu Florencia Belén")</f>
        <v>Spanu Florencia Belén</v>
      </c>
      <c r="F217" s="10" t="str">
        <f aca="false">IFERROR(__xludf.dummyfunction("""COMPUTED_VALUE"""),"Jueves")</f>
        <v>Jueves</v>
      </c>
      <c r="G217" s="11" t="n">
        <f aca="false">IFERROR(__xludf.dummyfunction("""COMPUTED_VALUE"""),0.333333333333333)</f>
        <v>0.333333333333333</v>
      </c>
      <c r="H217" s="11" t="n">
        <f aca="false">IFERROR(__xludf.dummyfunction("""COMPUTED_VALUE"""),0.5)</f>
        <v>0.5</v>
      </c>
      <c r="I217" s="12" t="str">
        <f aca="false">IFERROR(__xludf.dummyfunction("""COMPUTED_VALUE"""),"AULA JS-006-")</f>
        <v>AULA JS-006-</v>
      </c>
      <c r="J217" s="12" t="str">
        <f aca="false">IFERROR(__xludf.dummyfunction("""COMPUTED_VALUE"""),"JUSTICIA SOCIAL")</f>
        <v>JUSTICIA SOCIAL</v>
      </c>
      <c r="K217" s="13" t="s">
        <v>93</v>
      </c>
      <c r="L217" s="14" t="n">
        <v>1</v>
      </c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 customFormat="false" ht="15.75" hidden="false" customHeight="true" outlineLevel="0" collapsed="false">
      <c r="A218" s="5" t="s">
        <v>94</v>
      </c>
      <c r="B218" s="6" t="n">
        <v>30014145</v>
      </c>
      <c r="C218" s="7" t="s">
        <v>16</v>
      </c>
      <c r="D218" s="16" t="s">
        <v>75</v>
      </c>
      <c r="E218" s="12" t="str">
        <f aca="false">IFERROR(__xludf.dummyfunction("""COMPUTED_VALUE"""),"Fariña Silvana Mariel")</f>
        <v>Fariña Silvana Mariel</v>
      </c>
      <c r="F218" s="10" t="str">
        <f aca="false">IFERROR(__xludf.dummyfunction("""COMPUTED_VALUE"""),"Sábado")</f>
        <v>Sábado</v>
      </c>
      <c r="G218" s="11" t="n">
        <f aca="false">IFERROR(__xludf.dummyfunction("""COMPUTED_VALUE"""),0.375)</f>
        <v>0.375</v>
      </c>
      <c r="H218" s="11" t="n">
        <f aca="false">IFERROR(__xludf.dummyfunction("""COMPUTED_VALUE"""),0.541666666666666)</f>
        <v>0.541666666666666</v>
      </c>
      <c r="I218" s="12" t="str">
        <f aca="false">IFERROR(__xludf.dummyfunction("""COMPUTED_VALUE"""),"AULA JS-006-")</f>
        <v>AULA JS-006-</v>
      </c>
      <c r="J218" s="12" t="str">
        <f aca="false">IFERROR(__xludf.dummyfunction("""COMPUTED_VALUE"""),"JUSTICIA SOCIAL")</f>
        <v>JUSTICIA SOCIAL</v>
      </c>
      <c r="K218" s="13" t="s">
        <v>93</v>
      </c>
      <c r="L218" s="14" t="n">
        <v>2</v>
      </c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</row>
    <row r="219" customFormat="false" ht="15.75" hidden="false" customHeight="true" outlineLevel="0" collapsed="false">
      <c r="A219" s="5" t="s">
        <v>95</v>
      </c>
      <c r="B219" s="6" t="n">
        <v>27872782</v>
      </c>
      <c r="C219" s="17" t="s">
        <v>17</v>
      </c>
      <c r="D219" s="16" t="s">
        <v>75</v>
      </c>
      <c r="E219" s="12" t="str">
        <f aca="false">IFERROR(__xludf.dummyfunction("""COMPUTED_VALUE"""),"Mannocchi Valentina")</f>
        <v>Mannocchi Valentina</v>
      </c>
      <c r="F219" s="10" t="str">
        <f aca="false">IFERROR(__xludf.dummyfunction("""COMPUTED_VALUE"""),"Martes")</f>
        <v>Martes</v>
      </c>
      <c r="G219" s="11" t="n">
        <f aca="false">IFERROR(__xludf.dummyfunction("""COMPUTED_VALUE"""),0.333333333333333)</f>
        <v>0.333333333333333</v>
      </c>
      <c r="H219" s="11" t="n">
        <f aca="false">IFERROR(__xludf.dummyfunction("""COMPUTED_VALUE"""),0.5)</f>
        <v>0.5</v>
      </c>
      <c r="I219" s="12" t="str">
        <f aca="false">IFERROR(__xludf.dummyfunction("""COMPUTED_VALUE"""),"AULA JS-006-")</f>
        <v>AULA JS-006-</v>
      </c>
      <c r="J219" s="12" t="str">
        <f aca="false">IFERROR(__xludf.dummyfunction("""COMPUTED_VALUE"""),"JUSTICIA SOCIAL")</f>
        <v>JUSTICIA SOCIAL</v>
      </c>
      <c r="K219" s="13" t="s">
        <v>93</v>
      </c>
      <c r="L219" s="14" t="n">
        <v>2</v>
      </c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</row>
    <row r="220" customFormat="false" ht="15.75" hidden="false" customHeight="true" outlineLevel="0" collapsed="false">
      <c r="A220" s="5" t="s">
        <v>95</v>
      </c>
      <c r="B220" s="6" t="n">
        <v>27872782</v>
      </c>
      <c r="C220" s="7" t="s">
        <v>13</v>
      </c>
      <c r="D220" s="16" t="s">
        <v>75</v>
      </c>
      <c r="E220" s="12" t="str">
        <f aca="false">IFERROR(__xludf.dummyfunction("""COMPUTED_VALUE"""),"Spanu Florencia Belén")</f>
        <v>Spanu Florencia Belén</v>
      </c>
      <c r="F220" s="10" t="str">
        <f aca="false">IFERROR(__xludf.dummyfunction("""COMPUTED_VALUE"""),"Jueves")</f>
        <v>Jueves</v>
      </c>
      <c r="G220" s="11" t="n">
        <f aca="false">IFERROR(__xludf.dummyfunction("""COMPUTED_VALUE"""),0.333333333333333)</f>
        <v>0.333333333333333</v>
      </c>
      <c r="H220" s="11" t="n">
        <f aca="false">IFERROR(__xludf.dummyfunction("""COMPUTED_VALUE"""),0.5)</f>
        <v>0.5</v>
      </c>
      <c r="I220" s="12" t="str">
        <f aca="false">IFERROR(__xludf.dummyfunction("""COMPUTED_VALUE"""),"AULA JS-006-")</f>
        <v>AULA JS-006-</v>
      </c>
      <c r="J220" s="12" t="str">
        <f aca="false">IFERROR(__xludf.dummyfunction("""COMPUTED_VALUE"""),"JUSTICIA SOCIAL")</f>
        <v>JUSTICIA SOCIAL</v>
      </c>
      <c r="K220" s="13" t="s">
        <v>93</v>
      </c>
      <c r="L220" s="14" t="n">
        <v>2</v>
      </c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</row>
    <row r="221" customFormat="false" ht="15.75" hidden="false" customHeight="true" outlineLevel="0" collapsed="false">
      <c r="A221" s="5" t="s">
        <v>95</v>
      </c>
      <c r="B221" s="6" t="n">
        <v>27872782</v>
      </c>
      <c r="C221" s="7" t="s">
        <v>16</v>
      </c>
      <c r="D221" s="16" t="s">
        <v>75</v>
      </c>
      <c r="E221" s="12" t="str">
        <f aca="false">IFERROR(__xludf.dummyfunction("""COMPUTED_VALUE"""),"Fariña Silvana Mariel")</f>
        <v>Fariña Silvana Mariel</v>
      </c>
      <c r="F221" s="10" t="str">
        <f aca="false">IFERROR(__xludf.dummyfunction("""COMPUTED_VALUE"""),"Sábado")</f>
        <v>Sábado</v>
      </c>
      <c r="G221" s="11" t="n">
        <f aca="false">IFERROR(__xludf.dummyfunction("""COMPUTED_VALUE"""),0.375)</f>
        <v>0.375</v>
      </c>
      <c r="H221" s="11" t="n">
        <f aca="false">IFERROR(__xludf.dummyfunction("""COMPUTED_VALUE"""),0.541666666666666)</f>
        <v>0.541666666666666</v>
      </c>
      <c r="I221" s="12" t="str">
        <f aca="false">IFERROR(__xludf.dummyfunction("""COMPUTED_VALUE"""),"AULA JS-006-")</f>
        <v>AULA JS-006-</v>
      </c>
      <c r="J221" s="12" t="str">
        <f aca="false">IFERROR(__xludf.dummyfunction("""COMPUTED_VALUE"""),"JUSTICIA SOCIAL")</f>
        <v>JUSTICIA SOCIAL</v>
      </c>
      <c r="K221" s="13" t="s">
        <v>93</v>
      </c>
      <c r="L221" s="14" t="n">
        <v>1</v>
      </c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</row>
    <row r="222" customFormat="false" ht="15.75" hidden="false" customHeight="true" outlineLevel="0" collapsed="false">
      <c r="A222" s="18" t="s">
        <v>96</v>
      </c>
      <c r="B222" s="6" t="n">
        <v>38846966</v>
      </c>
      <c r="C222" s="17" t="s">
        <v>17</v>
      </c>
      <c r="D222" s="16" t="s">
        <v>75</v>
      </c>
      <c r="E222" s="12" t="str">
        <f aca="false">IFERROR(__xludf.dummyfunction("""COMPUTED_VALUE"""),"Mannocchi Valentina")</f>
        <v>Mannocchi Valentina</v>
      </c>
      <c r="F222" s="10" t="str">
        <f aca="false">IFERROR(__xludf.dummyfunction("""COMPUTED_VALUE"""),"Martes")</f>
        <v>Martes</v>
      </c>
      <c r="G222" s="11" t="n">
        <f aca="false">IFERROR(__xludf.dummyfunction("""COMPUTED_VALUE"""),0.333333333333333)</f>
        <v>0.333333333333333</v>
      </c>
      <c r="H222" s="11" t="n">
        <f aca="false">IFERROR(__xludf.dummyfunction("""COMPUTED_VALUE"""),0.5)</f>
        <v>0.5</v>
      </c>
      <c r="I222" s="12" t="str">
        <f aca="false">IFERROR(__xludf.dummyfunction("""COMPUTED_VALUE"""),"AULA JS-006-")</f>
        <v>AULA JS-006-</v>
      </c>
      <c r="J222" s="12" t="str">
        <f aca="false">IFERROR(__xludf.dummyfunction("""COMPUTED_VALUE"""),"JUSTICIA SOCIAL")</f>
        <v>JUSTICIA SOCIAL</v>
      </c>
      <c r="K222" s="13" t="s">
        <v>93</v>
      </c>
      <c r="L222" s="14" t="n">
        <v>1</v>
      </c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</row>
    <row r="223" customFormat="false" ht="15.75" hidden="false" customHeight="true" outlineLevel="0" collapsed="false">
      <c r="A223" s="18" t="s">
        <v>96</v>
      </c>
      <c r="B223" s="6" t="n">
        <v>38846966</v>
      </c>
      <c r="C223" s="7" t="s">
        <v>13</v>
      </c>
      <c r="D223" s="16" t="s">
        <v>75</v>
      </c>
      <c r="E223" s="12" t="str">
        <f aca="false">IFERROR(__xludf.dummyfunction("""COMPUTED_VALUE"""),"Spanu Florencia Belén")</f>
        <v>Spanu Florencia Belén</v>
      </c>
      <c r="F223" s="10" t="str">
        <f aca="false">IFERROR(__xludf.dummyfunction("""COMPUTED_VALUE"""),"Jueves")</f>
        <v>Jueves</v>
      </c>
      <c r="G223" s="11" t="n">
        <f aca="false">IFERROR(__xludf.dummyfunction("""COMPUTED_VALUE"""),0.333333333333333)</f>
        <v>0.333333333333333</v>
      </c>
      <c r="H223" s="11" t="n">
        <f aca="false">IFERROR(__xludf.dummyfunction("""COMPUTED_VALUE"""),0.5)</f>
        <v>0.5</v>
      </c>
      <c r="I223" s="12" t="str">
        <f aca="false">IFERROR(__xludf.dummyfunction("""COMPUTED_VALUE"""),"AULA JS-006-")</f>
        <v>AULA JS-006-</v>
      </c>
      <c r="J223" s="12" t="str">
        <f aca="false">IFERROR(__xludf.dummyfunction("""COMPUTED_VALUE"""),"JUSTICIA SOCIAL")</f>
        <v>JUSTICIA SOCIAL</v>
      </c>
      <c r="K223" s="13" t="s">
        <v>93</v>
      </c>
      <c r="L223" s="14" t="n">
        <v>1</v>
      </c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</row>
    <row r="224" customFormat="false" ht="15.75" hidden="false" customHeight="true" outlineLevel="0" collapsed="false">
      <c r="A224" s="18" t="s">
        <v>96</v>
      </c>
      <c r="B224" s="6" t="n">
        <v>38846966</v>
      </c>
      <c r="C224" s="7" t="s">
        <v>16</v>
      </c>
      <c r="D224" s="16" t="s">
        <v>75</v>
      </c>
      <c r="E224" s="12" t="str">
        <f aca="false">IFERROR(__xludf.dummyfunction("""COMPUTED_VALUE"""),"Fariña Silvana Mariel")</f>
        <v>Fariña Silvana Mariel</v>
      </c>
      <c r="F224" s="10" t="str">
        <f aca="false">IFERROR(__xludf.dummyfunction("""COMPUTED_VALUE"""),"Sábado")</f>
        <v>Sábado</v>
      </c>
      <c r="G224" s="11" t="n">
        <f aca="false">IFERROR(__xludf.dummyfunction("""COMPUTED_VALUE"""),0.375)</f>
        <v>0.375</v>
      </c>
      <c r="H224" s="11" t="n">
        <f aca="false">IFERROR(__xludf.dummyfunction("""COMPUTED_VALUE"""),0.541666666666666)</f>
        <v>0.541666666666666</v>
      </c>
      <c r="I224" s="12" t="str">
        <f aca="false">IFERROR(__xludf.dummyfunction("""COMPUTED_VALUE"""),"AULA JS-006-")</f>
        <v>AULA JS-006-</v>
      </c>
      <c r="J224" s="12" t="str">
        <f aca="false">IFERROR(__xludf.dummyfunction("""COMPUTED_VALUE"""),"JUSTICIA SOCIAL")</f>
        <v>JUSTICIA SOCIAL</v>
      </c>
      <c r="K224" s="13" t="s">
        <v>93</v>
      </c>
      <c r="L224" s="14" t="n">
        <v>4</v>
      </c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</row>
    <row r="225" customFormat="false" ht="15.75" hidden="false" customHeight="true" outlineLevel="0" collapsed="false">
      <c r="A225" s="5" t="s">
        <v>97</v>
      </c>
      <c r="B225" s="6" t="n">
        <v>33786127</v>
      </c>
      <c r="C225" s="17" t="s">
        <v>17</v>
      </c>
      <c r="D225" s="16" t="s">
        <v>75</v>
      </c>
      <c r="E225" s="12" t="str">
        <f aca="false">IFERROR(__xludf.dummyfunction("""COMPUTED_VALUE"""),"Mannocchi Valentina")</f>
        <v>Mannocchi Valentina</v>
      </c>
      <c r="F225" s="10" t="str">
        <f aca="false">IFERROR(__xludf.dummyfunction("""COMPUTED_VALUE"""),"Martes")</f>
        <v>Martes</v>
      </c>
      <c r="G225" s="11" t="n">
        <f aca="false">IFERROR(__xludf.dummyfunction("""COMPUTED_VALUE"""),0.333333333333333)</f>
        <v>0.333333333333333</v>
      </c>
      <c r="H225" s="11" t="n">
        <f aca="false">IFERROR(__xludf.dummyfunction("""COMPUTED_VALUE"""),0.5)</f>
        <v>0.5</v>
      </c>
      <c r="I225" s="12" t="str">
        <f aca="false">IFERROR(__xludf.dummyfunction("""COMPUTED_VALUE"""),"AULA JS-006-")</f>
        <v>AULA JS-006-</v>
      </c>
      <c r="J225" s="12" t="str">
        <f aca="false">IFERROR(__xludf.dummyfunction("""COMPUTED_VALUE"""),"JUSTICIA SOCIAL")</f>
        <v>JUSTICIA SOCIAL</v>
      </c>
      <c r="K225" s="13" t="s">
        <v>93</v>
      </c>
      <c r="L225" s="14" t="n">
        <v>4</v>
      </c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</row>
    <row r="226" customFormat="false" ht="15.75" hidden="false" customHeight="true" outlineLevel="0" collapsed="false">
      <c r="A226" s="5" t="s">
        <v>97</v>
      </c>
      <c r="B226" s="6" t="n">
        <v>33786127</v>
      </c>
      <c r="C226" s="7" t="s">
        <v>13</v>
      </c>
      <c r="D226" s="16" t="s">
        <v>75</v>
      </c>
      <c r="E226" s="12" t="str">
        <f aca="false">IFERROR(__xludf.dummyfunction("""COMPUTED_VALUE"""),"Spanu Florencia Belén")</f>
        <v>Spanu Florencia Belén</v>
      </c>
      <c r="F226" s="10" t="str">
        <f aca="false">IFERROR(__xludf.dummyfunction("""COMPUTED_VALUE"""),"Jueves")</f>
        <v>Jueves</v>
      </c>
      <c r="G226" s="11" t="n">
        <f aca="false">IFERROR(__xludf.dummyfunction("""COMPUTED_VALUE"""),0.333333333333333)</f>
        <v>0.333333333333333</v>
      </c>
      <c r="H226" s="11" t="n">
        <f aca="false">IFERROR(__xludf.dummyfunction("""COMPUTED_VALUE"""),0.5)</f>
        <v>0.5</v>
      </c>
      <c r="I226" s="12" t="str">
        <f aca="false">IFERROR(__xludf.dummyfunction("""COMPUTED_VALUE"""),"AULA JS-006-")</f>
        <v>AULA JS-006-</v>
      </c>
      <c r="J226" s="12" t="str">
        <f aca="false">IFERROR(__xludf.dummyfunction("""COMPUTED_VALUE"""),"JUSTICIA SOCIAL")</f>
        <v>JUSTICIA SOCIAL</v>
      </c>
      <c r="K226" s="13" t="s">
        <v>93</v>
      </c>
      <c r="L226" s="14" t="n">
        <v>4</v>
      </c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</row>
    <row r="227" customFormat="false" ht="15.75" hidden="false" customHeight="true" outlineLevel="0" collapsed="false">
      <c r="A227" s="5" t="s">
        <v>97</v>
      </c>
      <c r="B227" s="6" t="n">
        <v>33786127</v>
      </c>
      <c r="C227" s="7" t="s">
        <v>16</v>
      </c>
      <c r="D227" s="16" t="s">
        <v>75</v>
      </c>
      <c r="E227" s="12" t="str">
        <f aca="false">IFERROR(__xludf.dummyfunction("""COMPUTED_VALUE"""),"Fariña Silvana Mariel")</f>
        <v>Fariña Silvana Mariel</v>
      </c>
      <c r="F227" s="10" t="str">
        <f aca="false">IFERROR(__xludf.dummyfunction("""COMPUTED_VALUE"""),"Sábado")</f>
        <v>Sábado</v>
      </c>
      <c r="G227" s="11" t="n">
        <f aca="false">IFERROR(__xludf.dummyfunction("""COMPUTED_VALUE"""),0.375)</f>
        <v>0.375</v>
      </c>
      <c r="H227" s="11" t="n">
        <f aca="false">IFERROR(__xludf.dummyfunction("""COMPUTED_VALUE"""),0.541666666666666)</f>
        <v>0.541666666666666</v>
      </c>
      <c r="I227" s="12" t="str">
        <f aca="false">IFERROR(__xludf.dummyfunction("""COMPUTED_VALUE"""),"AULA JS-006-")</f>
        <v>AULA JS-006-</v>
      </c>
      <c r="J227" s="12" t="str">
        <f aca="false">IFERROR(__xludf.dummyfunction("""COMPUTED_VALUE"""),"JUSTICIA SOCIAL")</f>
        <v>JUSTICIA SOCIAL</v>
      </c>
      <c r="K227" s="13" t="s">
        <v>93</v>
      </c>
      <c r="L227" s="14" t="n">
        <v>4</v>
      </c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</row>
    <row r="228" customFormat="false" ht="15.75" hidden="false" customHeight="true" outlineLevel="0" collapsed="false">
      <c r="A228" s="5" t="s">
        <v>98</v>
      </c>
      <c r="B228" s="6" t="n">
        <v>20306439</v>
      </c>
      <c r="C228" s="17" t="s">
        <v>17</v>
      </c>
      <c r="D228" s="16" t="s">
        <v>75</v>
      </c>
      <c r="E228" s="12" t="str">
        <f aca="false">IFERROR(__xludf.dummyfunction("""COMPUTED_VALUE"""),"Mannocchi Valentina")</f>
        <v>Mannocchi Valentina</v>
      </c>
      <c r="F228" s="10" t="str">
        <f aca="false">IFERROR(__xludf.dummyfunction("""COMPUTED_VALUE"""),"Martes")</f>
        <v>Martes</v>
      </c>
      <c r="G228" s="11" t="n">
        <f aca="false">IFERROR(__xludf.dummyfunction("""COMPUTED_VALUE"""),0.333333333333333)</f>
        <v>0.333333333333333</v>
      </c>
      <c r="H228" s="11" t="n">
        <f aca="false">IFERROR(__xludf.dummyfunction("""COMPUTED_VALUE"""),0.5)</f>
        <v>0.5</v>
      </c>
      <c r="I228" s="12" t="str">
        <f aca="false">IFERROR(__xludf.dummyfunction("""COMPUTED_VALUE"""),"AULA JS-006-")</f>
        <v>AULA JS-006-</v>
      </c>
      <c r="J228" s="12" t="str">
        <f aca="false">IFERROR(__xludf.dummyfunction("""COMPUTED_VALUE"""),"JUSTICIA SOCIAL")</f>
        <v>JUSTICIA SOCIAL</v>
      </c>
      <c r="K228" s="13" t="s">
        <v>93</v>
      </c>
      <c r="L228" s="14" t="n">
        <v>4</v>
      </c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</row>
    <row r="229" customFormat="false" ht="15.75" hidden="false" customHeight="true" outlineLevel="0" collapsed="false">
      <c r="A229" s="5" t="s">
        <v>98</v>
      </c>
      <c r="B229" s="6" t="n">
        <v>20306439</v>
      </c>
      <c r="C229" s="7" t="s">
        <v>13</v>
      </c>
      <c r="D229" s="16" t="s">
        <v>75</v>
      </c>
      <c r="E229" s="12" t="str">
        <f aca="false">IFERROR(__xludf.dummyfunction("""COMPUTED_VALUE"""),"Spanu Florencia Belén")</f>
        <v>Spanu Florencia Belén</v>
      </c>
      <c r="F229" s="10" t="str">
        <f aca="false">IFERROR(__xludf.dummyfunction("""COMPUTED_VALUE"""),"Jueves")</f>
        <v>Jueves</v>
      </c>
      <c r="G229" s="11" t="n">
        <f aca="false">IFERROR(__xludf.dummyfunction("""COMPUTED_VALUE"""),0.333333333333333)</f>
        <v>0.333333333333333</v>
      </c>
      <c r="H229" s="11" t="n">
        <f aca="false">IFERROR(__xludf.dummyfunction("""COMPUTED_VALUE"""),0.5)</f>
        <v>0.5</v>
      </c>
      <c r="I229" s="12" t="str">
        <f aca="false">IFERROR(__xludf.dummyfunction("""COMPUTED_VALUE"""),"AULA JS-006-")</f>
        <v>AULA JS-006-</v>
      </c>
      <c r="J229" s="12" t="str">
        <f aca="false">IFERROR(__xludf.dummyfunction("""COMPUTED_VALUE"""),"JUSTICIA SOCIAL")</f>
        <v>JUSTICIA SOCIAL</v>
      </c>
      <c r="K229" s="13" t="s">
        <v>93</v>
      </c>
      <c r="L229" s="14" t="n">
        <v>4</v>
      </c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</row>
    <row r="230" customFormat="false" ht="15.75" hidden="false" customHeight="true" outlineLevel="0" collapsed="false">
      <c r="A230" s="5" t="s">
        <v>98</v>
      </c>
      <c r="B230" s="6" t="n">
        <v>20306439</v>
      </c>
      <c r="C230" s="7" t="s">
        <v>16</v>
      </c>
      <c r="D230" s="16" t="s">
        <v>75</v>
      </c>
      <c r="E230" s="12" t="str">
        <f aca="false">IFERROR(__xludf.dummyfunction("""COMPUTED_VALUE"""),"Fariña Silvana Mariel")</f>
        <v>Fariña Silvana Mariel</v>
      </c>
      <c r="F230" s="10" t="str">
        <f aca="false">IFERROR(__xludf.dummyfunction("""COMPUTED_VALUE"""),"Sábado")</f>
        <v>Sábado</v>
      </c>
      <c r="G230" s="11" t="n">
        <f aca="false">IFERROR(__xludf.dummyfunction("""COMPUTED_VALUE"""),0.375)</f>
        <v>0.375</v>
      </c>
      <c r="H230" s="11" t="n">
        <f aca="false">IFERROR(__xludf.dummyfunction("""COMPUTED_VALUE"""),0.541666666666666)</f>
        <v>0.541666666666666</v>
      </c>
      <c r="I230" s="12" t="str">
        <f aca="false">IFERROR(__xludf.dummyfunction("""COMPUTED_VALUE"""),"AULA JS-006-")</f>
        <v>AULA JS-006-</v>
      </c>
      <c r="J230" s="12" t="str">
        <f aca="false">IFERROR(__xludf.dummyfunction("""COMPUTED_VALUE"""),"JUSTICIA SOCIAL")</f>
        <v>JUSTICIA SOCIAL</v>
      </c>
      <c r="K230" s="13" t="s">
        <v>93</v>
      </c>
      <c r="L230" s="14" t="n">
        <v>1</v>
      </c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</row>
    <row r="231" customFormat="false" ht="15.75" hidden="false" customHeight="true" outlineLevel="0" collapsed="false">
      <c r="A231" s="5" t="s">
        <v>99</v>
      </c>
      <c r="B231" s="6" t="n">
        <v>22445473</v>
      </c>
      <c r="C231" s="17" t="s">
        <v>17</v>
      </c>
      <c r="D231" s="16" t="s">
        <v>75</v>
      </c>
      <c r="E231" s="12" t="str">
        <f aca="false">IFERROR(__xludf.dummyfunction("""COMPUTED_VALUE"""),"Mannocchi Valentina")</f>
        <v>Mannocchi Valentina</v>
      </c>
      <c r="F231" s="10" t="str">
        <f aca="false">IFERROR(__xludf.dummyfunction("""COMPUTED_VALUE"""),"Martes")</f>
        <v>Martes</v>
      </c>
      <c r="G231" s="11" t="n">
        <f aca="false">IFERROR(__xludf.dummyfunction("""COMPUTED_VALUE"""),0.333333333333333)</f>
        <v>0.333333333333333</v>
      </c>
      <c r="H231" s="11" t="n">
        <f aca="false">IFERROR(__xludf.dummyfunction("""COMPUTED_VALUE"""),0.5)</f>
        <v>0.5</v>
      </c>
      <c r="I231" s="12" t="str">
        <f aca="false">IFERROR(__xludf.dummyfunction("""COMPUTED_VALUE"""),"AULA JS-006-")</f>
        <v>AULA JS-006-</v>
      </c>
      <c r="J231" s="12" t="str">
        <f aca="false">IFERROR(__xludf.dummyfunction("""COMPUTED_VALUE"""),"JUSTICIA SOCIAL")</f>
        <v>JUSTICIA SOCIAL</v>
      </c>
      <c r="K231" s="13" t="s">
        <v>93</v>
      </c>
      <c r="L231" s="14" t="n">
        <v>1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</row>
    <row r="232" customFormat="false" ht="15.75" hidden="false" customHeight="true" outlineLevel="0" collapsed="false">
      <c r="A232" s="5" t="s">
        <v>99</v>
      </c>
      <c r="B232" s="6" t="n">
        <v>22445473</v>
      </c>
      <c r="C232" s="7" t="s">
        <v>13</v>
      </c>
      <c r="D232" s="16" t="s">
        <v>75</v>
      </c>
      <c r="E232" s="12" t="str">
        <f aca="false">IFERROR(__xludf.dummyfunction("""COMPUTED_VALUE"""),"Spanu Florencia Belén")</f>
        <v>Spanu Florencia Belén</v>
      </c>
      <c r="F232" s="10" t="str">
        <f aca="false">IFERROR(__xludf.dummyfunction("""COMPUTED_VALUE"""),"Jueves")</f>
        <v>Jueves</v>
      </c>
      <c r="G232" s="11" t="n">
        <f aca="false">IFERROR(__xludf.dummyfunction("""COMPUTED_VALUE"""),0.333333333333333)</f>
        <v>0.333333333333333</v>
      </c>
      <c r="H232" s="11" t="n">
        <f aca="false">IFERROR(__xludf.dummyfunction("""COMPUTED_VALUE"""),0.5)</f>
        <v>0.5</v>
      </c>
      <c r="I232" s="12" t="str">
        <f aca="false">IFERROR(__xludf.dummyfunction("""COMPUTED_VALUE"""),"AULA JS-006-")</f>
        <v>AULA JS-006-</v>
      </c>
      <c r="J232" s="12" t="str">
        <f aca="false">IFERROR(__xludf.dummyfunction("""COMPUTED_VALUE"""),"JUSTICIA SOCIAL")</f>
        <v>JUSTICIA SOCIAL</v>
      </c>
      <c r="K232" s="13" t="s">
        <v>93</v>
      </c>
      <c r="L232" s="14" t="n">
        <v>1</v>
      </c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</row>
    <row r="233" customFormat="false" ht="15.75" hidden="false" customHeight="true" outlineLevel="0" collapsed="false">
      <c r="A233" s="5" t="s">
        <v>99</v>
      </c>
      <c r="B233" s="6" t="n">
        <v>22445473</v>
      </c>
      <c r="C233" s="7" t="s">
        <v>16</v>
      </c>
      <c r="D233" s="16" t="s">
        <v>75</v>
      </c>
      <c r="E233" s="12" t="str">
        <f aca="false">IFERROR(__xludf.dummyfunction("""COMPUTED_VALUE"""),"Fariña Silvana Mariel")</f>
        <v>Fariña Silvana Mariel</v>
      </c>
      <c r="F233" s="10" t="str">
        <f aca="false">IFERROR(__xludf.dummyfunction("""COMPUTED_VALUE"""),"Sábado")</f>
        <v>Sábado</v>
      </c>
      <c r="G233" s="11" t="n">
        <f aca="false">IFERROR(__xludf.dummyfunction("""COMPUTED_VALUE"""),0.375)</f>
        <v>0.375</v>
      </c>
      <c r="H233" s="11" t="n">
        <f aca="false">IFERROR(__xludf.dummyfunction("""COMPUTED_VALUE"""),0.541666666666666)</f>
        <v>0.541666666666666</v>
      </c>
      <c r="I233" s="12" t="str">
        <f aca="false">IFERROR(__xludf.dummyfunction("""COMPUTED_VALUE"""),"AULA JS-006-")</f>
        <v>AULA JS-006-</v>
      </c>
      <c r="J233" s="12" t="str">
        <f aca="false">IFERROR(__xludf.dummyfunction("""COMPUTED_VALUE"""),"JUSTICIA SOCIAL")</f>
        <v>JUSTICIA SOCIAL</v>
      </c>
      <c r="K233" s="13" t="s">
        <v>93</v>
      </c>
      <c r="L233" s="14" t="n">
        <v>5</v>
      </c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</row>
    <row r="234" customFormat="false" ht="15.75" hidden="false" customHeight="true" outlineLevel="0" collapsed="false">
      <c r="A234" s="5" t="s">
        <v>100</v>
      </c>
      <c r="B234" s="6" t="n">
        <v>35503598</v>
      </c>
      <c r="C234" s="17" t="s">
        <v>17</v>
      </c>
      <c r="D234" s="16" t="s">
        <v>75</v>
      </c>
      <c r="E234" s="12" t="str">
        <f aca="false">IFERROR(__xludf.dummyfunction("""COMPUTED_VALUE"""),"Mannocchi Valentina")</f>
        <v>Mannocchi Valentina</v>
      </c>
      <c r="F234" s="10" t="str">
        <f aca="false">IFERROR(__xludf.dummyfunction("""COMPUTED_VALUE"""),"Martes")</f>
        <v>Martes</v>
      </c>
      <c r="G234" s="11" t="n">
        <f aca="false">IFERROR(__xludf.dummyfunction("""COMPUTED_VALUE"""),0.333333333333333)</f>
        <v>0.333333333333333</v>
      </c>
      <c r="H234" s="11" t="n">
        <f aca="false">IFERROR(__xludf.dummyfunction("""COMPUTED_VALUE"""),0.5)</f>
        <v>0.5</v>
      </c>
      <c r="I234" s="12" t="str">
        <f aca="false">IFERROR(__xludf.dummyfunction("""COMPUTED_VALUE"""),"AULA JS-006-")</f>
        <v>AULA JS-006-</v>
      </c>
      <c r="J234" s="12" t="str">
        <f aca="false">IFERROR(__xludf.dummyfunction("""COMPUTED_VALUE"""),"JUSTICIA SOCIAL")</f>
        <v>JUSTICIA SOCIAL</v>
      </c>
      <c r="K234" s="13" t="s">
        <v>93</v>
      </c>
      <c r="L234" s="14" t="n">
        <v>5</v>
      </c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</row>
    <row r="235" customFormat="false" ht="15.75" hidden="false" customHeight="true" outlineLevel="0" collapsed="false">
      <c r="A235" s="5" t="s">
        <v>100</v>
      </c>
      <c r="B235" s="6" t="n">
        <v>35503598</v>
      </c>
      <c r="C235" s="7" t="s">
        <v>13</v>
      </c>
      <c r="D235" s="16" t="s">
        <v>75</v>
      </c>
      <c r="E235" s="12" t="str">
        <f aca="false">IFERROR(__xludf.dummyfunction("""COMPUTED_VALUE"""),"Spanu Florencia Belén")</f>
        <v>Spanu Florencia Belén</v>
      </c>
      <c r="F235" s="10" t="str">
        <f aca="false">IFERROR(__xludf.dummyfunction("""COMPUTED_VALUE"""),"Jueves")</f>
        <v>Jueves</v>
      </c>
      <c r="G235" s="11" t="n">
        <f aca="false">IFERROR(__xludf.dummyfunction("""COMPUTED_VALUE"""),0.333333333333333)</f>
        <v>0.333333333333333</v>
      </c>
      <c r="H235" s="11" t="n">
        <f aca="false">IFERROR(__xludf.dummyfunction("""COMPUTED_VALUE"""),0.5)</f>
        <v>0.5</v>
      </c>
      <c r="I235" s="12" t="str">
        <f aca="false">IFERROR(__xludf.dummyfunction("""COMPUTED_VALUE"""),"AULA JS-006-")</f>
        <v>AULA JS-006-</v>
      </c>
      <c r="J235" s="12" t="str">
        <f aca="false">IFERROR(__xludf.dummyfunction("""COMPUTED_VALUE"""),"JUSTICIA SOCIAL")</f>
        <v>JUSTICIA SOCIAL</v>
      </c>
      <c r="K235" s="13" t="s">
        <v>93</v>
      </c>
      <c r="L235" s="14" t="n">
        <v>5</v>
      </c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</row>
    <row r="236" customFormat="false" ht="15.75" hidden="false" customHeight="true" outlineLevel="0" collapsed="false">
      <c r="A236" s="5" t="s">
        <v>100</v>
      </c>
      <c r="B236" s="6" t="n">
        <v>35503598</v>
      </c>
      <c r="C236" s="7" t="s">
        <v>16</v>
      </c>
      <c r="D236" s="16" t="s">
        <v>75</v>
      </c>
      <c r="E236" s="12" t="str">
        <f aca="false">IFERROR(__xludf.dummyfunction("""COMPUTED_VALUE"""),"Fariña Silvana Mariel")</f>
        <v>Fariña Silvana Mariel</v>
      </c>
      <c r="F236" s="10" t="str">
        <f aca="false">IFERROR(__xludf.dummyfunction("""COMPUTED_VALUE"""),"Sábado")</f>
        <v>Sábado</v>
      </c>
      <c r="G236" s="11" t="n">
        <f aca="false">IFERROR(__xludf.dummyfunction("""COMPUTED_VALUE"""),0.375)</f>
        <v>0.375</v>
      </c>
      <c r="H236" s="11" t="n">
        <f aca="false">IFERROR(__xludf.dummyfunction("""COMPUTED_VALUE"""),0.541666666666666)</f>
        <v>0.541666666666666</v>
      </c>
      <c r="I236" s="12" t="str">
        <f aca="false">IFERROR(__xludf.dummyfunction("""COMPUTED_VALUE"""),"AULA JS-006-")</f>
        <v>AULA JS-006-</v>
      </c>
      <c r="J236" s="12" t="str">
        <f aca="false">IFERROR(__xludf.dummyfunction("""COMPUTED_VALUE"""),"JUSTICIA SOCIAL")</f>
        <v>JUSTICIA SOCIAL</v>
      </c>
      <c r="K236" s="13" t="s">
        <v>93</v>
      </c>
      <c r="L236" s="14" t="n">
        <v>5</v>
      </c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</row>
    <row r="237" customFormat="false" ht="15.75" hidden="false" customHeight="true" outlineLevel="0" collapsed="false">
      <c r="A237" s="5" t="s">
        <v>101</v>
      </c>
      <c r="B237" s="6" t="n">
        <v>45697960</v>
      </c>
      <c r="C237" s="17" t="s">
        <v>17</v>
      </c>
      <c r="D237" s="16" t="s">
        <v>75</v>
      </c>
      <c r="E237" s="12" t="str">
        <f aca="false">IFERROR(__xludf.dummyfunction("""COMPUTED_VALUE"""),"Mannocchi Valentina")</f>
        <v>Mannocchi Valentina</v>
      </c>
      <c r="F237" s="10" t="str">
        <f aca="false">IFERROR(__xludf.dummyfunction("""COMPUTED_VALUE"""),"Martes")</f>
        <v>Martes</v>
      </c>
      <c r="G237" s="11" t="n">
        <f aca="false">IFERROR(__xludf.dummyfunction("""COMPUTED_VALUE"""),0.333333333333333)</f>
        <v>0.333333333333333</v>
      </c>
      <c r="H237" s="11" t="n">
        <f aca="false">IFERROR(__xludf.dummyfunction("""COMPUTED_VALUE"""),0.5)</f>
        <v>0.5</v>
      </c>
      <c r="I237" s="12" t="str">
        <f aca="false">IFERROR(__xludf.dummyfunction("""COMPUTED_VALUE"""),"AULA JS-006-")</f>
        <v>AULA JS-006-</v>
      </c>
      <c r="J237" s="12" t="str">
        <f aca="false">IFERROR(__xludf.dummyfunction("""COMPUTED_VALUE"""),"JUSTICIA SOCIAL")</f>
        <v>JUSTICIA SOCIAL</v>
      </c>
      <c r="K237" s="13" t="s">
        <v>93</v>
      </c>
      <c r="L237" s="14" t="n">
        <v>5</v>
      </c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 customFormat="false" ht="15.75" hidden="false" customHeight="true" outlineLevel="0" collapsed="false">
      <c r="A238" s="5" t="s">
        <v>101</v>
      </c>
      <c r="B238" s="6" t="n">
        <v>45697960</v>
      </c>
      <c r="C238" s="7" t="s">
        <v>13</v>
      </c>
      <c r="D238" s="16" t="s">
        <v>75</v>
      </c>
      <c r="E238" s="12" t="str">
        <f aca="false">IFERROR(__xludf.dummyfunction("""COMPUTED_VALUE"""),"Spanu Florencia Belén")</f>
        <v>Spanu Florencia Belén</v>
      </c>
      <c r="F238" s="10" t="str">
        <f aca="false">IFERROR(__xludf.dummyfunction("""COMPUTED_VALUE"""),"Jueves")</f>
        <v>Jueves</v>
      </c>
      <c r="G238" s="11" t="n">
        <f aca="false">IFERROR(__xludf.dummyfunction("""COMPUTED_VALUE"""),0.333333333333333)</f>
        <v>0.333333333333333</v>
      </c>
      <c r="H238" s="11" t="n">
        <f aca="false">IFERROR(__xludf.dummyfunction("""COMPUTED_VALUE"""),0.5)</f>
        <v>0.5</v>
      </c>
      <c r="I238" s="12" t="str">
        <f aca="false">IFERROR(__xludf.dummyfunction("""COMPUTED_VALUE"""),"AULA JS-006-")</f>
        <v>AULA JS-006-</v>
      </c>
      <c r="J238" s="12" t="str">
        <f aca="false">IFERROR(__xludf.dummyfunction("""COMPUTED_VALUE"""),"JUSTICIA SOCIAL")</f>
        <v>JUSTICIA SOCIAL</v>
      </c>
      <c r="K238" s="13" t="s">
        <v>93</v>
      </c>
      <c r="L238" s="14" t="n">
        <v>5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</row>
    <row r="239" customFormat="false" ht="15.75" hidden="false" customHeight="true" outlineLevel="0" collapsed="false">
      <c r="A239" s="5" t="s">
        <v>101</v>
      </c>
      <c r="B239" s="6" t="n">
        <v>45697960</v>
      </c>
      <c r="C239" s="7" t="s">
        <v>16</v>
      </c>
      <c r="D239" s="16" t="s">
        <v>75</v>
      </c>
      <c r="E239" s="12" t="str">
        <f aca="false">IFERROR(__xludf.dummyfunction("""COMPUTED_VALUE"""),"Fariña Silvana Mariel")</f>
        <v>Fariña Silvana Mariel</v>
      </c>
      <c r="F239" s="10" t="str">
        <f aca="false">IFERROR(__xludf.dummyfunction("""COMPUTED_VALUE"""),"Sábado")</f>
        <v>Sábado</v>
      </c>
      <c r="G239" s="11" t="n">
        <f aca="false">IFERROR(__xludf.dummyfunction("""COMPUTED_VALUE"""),0.375)</f>
        <v>0.375</v>
      </c>
      <c r="H239" s="11" t="n">
        <f aca="false">IFERROR(__xludf.dummyfunction("""COMPUTED_VALUE"""),0.541666666666666)</f>
        <v>0.541666666666666</v>
      </c>
      <c r="I239" s="12" t="str">
        <f aca="false">IFERROR(__xludf.dummyfunction("""COMPUTED_VALUE"""),"AULA JS-006-")</f>
        <v>AULA JS-006-</v>
      </c>
      <c r="J239" s="12" t="str">
        <f aca="false">IFERROR(__xludf.dummyfunction("""COMPUTED_VALUE"""),"JUSTICIA SOCIAL")</f>
        <v>JUSTICIA SOCIAL</v>
      </c>
      <c r="K239" s="13" t="s">
        <v>93</v>
      </c>
      <c r="L239" s="14" t="n">
        <v>5</v>
      </c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</row>
    <row r="240" customFormat="false" ht="15.75" hidden="false" customHeight="true" outlineLevel="0" collapsed="false">
      <c r="A240" s="5" t="s">
        <v>102</v>
      </c>
      <c r="B240" s="6" t="n">
        <v>36329942</v>
      </c>
      <c r="C240" s="17" t="s">
        <v>17</v>
      </c>
      <c r="D240" s="16" t="s">
        <v>75</v>
      </c>
      <c r="E240" s="12" t="str">
        <f aca="false">IFERROR(__xludf.dummyfunction("""COMPUTED_VALUE"""),"Mannocchi Valentina")</f>
        <v>Mannocchi Valentina</v>
      </c>
      <c r="F240" s="10" t="str">
        <f aca="false">IFERROR(__xludf.dummyfunction("""COMPUTED_VALUE"""),"Martes")</f>
        <v>Martes</v>
      </c>
      <c r="G240" s="11" t="n">
        <f aca="false">IFERROR(__xludf.dummyfunction("""COMPUTED_VALUE"""),0.333333333333333)</f>
        <v>0.333333333333333</v>
      </c>
      <c r="H240" s="11" t="n">
        <f aca="false">IFERROR(__xludf.dummyfunction("""COMPUTED_VALUE"""),0.5)</f>
        <v>0.5</v>
      </c>
      <c r="I240" s="12" t="str">
        <f aca="false">IFERROR(__xludf.dummyfunction("""COMPUTED_VALUE"""),"AULA JS-006-")</f>
        <v>AULA JS-006-</v>
      </c>
      <c r="J240" s="12" t="str">
        <f aca="false">IFERROR(__xludf.dummyfunction("""COMPUTED_VALUE"""),"JUSTICIA SOCIAL")</f>
        <v>JUSTICIA SOCIAL</v>
      </c>
      <c r="K240" s="13" t="s">
        <v>93</v>
      </c>
      <c r="L240" s="14" t="n">
        <v>5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</row>
    <row r="241" customFormat="false" ht="15.75" hidden="false" customHeight="true" outlineLevel="0" collapsed="false">
      <c r="A241" s="5" t="s">
        <v>102</v>
      </c>
      <c r="B241" s="6" t="n">
        <v>36329942</v>
      </c>
      <c r="C241" s="7" t="s">
        <v>13</v>
      </c>
      <c r="D241" s="16" t="s">
        <v>75</v>
      </c>
      <c r="E241" s="12" t="str">
        <f aca="false">IFERROR(__xludf.dummyfunction("""COMPUTED_VALUE"""),"Spanu Florencia Belén")</f>
        <v>Spanu Florencia Belén</v>
      </c>
      <c r="F241" s="10" t="str">
        <f aca="false">IFERROR(__xludf.dummyfunction("""COMPUTED_VALUE"""),"Jueves")</f>
        <v>Jueves</v>
      </c>
      <c r="G241" s="11" t="n">
        <f aca="false">IFERROR(__xludf.dummyfunction("""COMPUTED_VALUE"""),0.333333333333333)</f>
        <v>0.333333333333333</v>
      </c>
      <c r="H241" s="11" t="n">
        <f aca="false">IFERROR(__xludf.dummyfunction("""COMPUTED_VALUE"""),0.5)</f>
        <v>0.5</v>
      </c>
      <c r="I241" s="12" t="str">
        <f aca="false">IFERROR(__xludf.dummyfunction("""COMPUTED_VALUE"""),"AULA JS-006-")</f>
        <v>AULA JS-006-</v>
      </c>
      <c r="J241" s="12" t="str">
        <f aca="false">IFERROR(__xludf.dummyfunction("""COMPUTED_VALUE"""),"JUSTICIA SOCIAL")</f>
        <v>JUSTICIA SOCIAL</v>
      </c>
      <c r="K241" s="13" t="s">
        <v>93</v>
      </c>
      <c r="L241" s="14" t="n">
        <v>5</v>
      </c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</row>
    <row r="242" customFormat="false" ht="15.75" hidden="false" customHeight="true" outlineLevel="0" collapsed="false">
      <c r="A242" s="5" t="s">
        <v>102</v>
      </c>
      <c r="B242" s="6" t="n">
        <v>36329942</v>
      </c>
      <c r="C242" s="7" t="s">
        <v>16</v>
      </c>
      <c r="D242" s="16" t="s">
        <v>75</v>
      </c>
      <c r="E242" s="12" t="str">
        <f aca="false">IFERROR(__xludf.dummyfunction("""COMPUTED_VALUE"""),"Fariña Silvana Mariel")</f>
        <v>Fariña Silvana Mariel</v>
      </c>
      <c r="F242" s="10" t="str">
        <f aca="false">IFERROR(__xludf.dummyfunction("""COMPUTED_VALUE"""),"Sábado")</f>
        <v>Sábado</v>
      </c>
      <c r="G242" s="11" t="n">
        <f aca="false">IFERROR(__xludf.dummyfunction("""COMPUTED_VALUE"""),0.375)</f>
        <v>0.375</v>
      </c>
      <c r="H242" s="11" t="n">
        <f aca="false">IFERROR(__xludf.dummyfunction("""COMPUTED_VALUE"""),0.541666666666666)</f>
        <v>0.541666666666666</v>
      </c>
      <c r="I242" s="12" t="str">
        <f aca="false">IFERROR(__xludf.dummyfunction("""COMPUTED_VALUE"""),"AULA JS-006-")</f>
        <v>AULA JS-006-</v>
      </c>
      <c r="J242" s="12" t="str">
        <f aca="false">IFERROR(__xludf.dummyfunction("""COMPUTED_VALUE"""),"JUSTICIA SOCIAL")</f>
        <v>JUSTICIA SOCIAL</v>
      </c>
      <c r="K242" s="13" t="s">
        <v>93</v>
      </c>
      <c r="L242" s="14" t="n">
        <v>4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</row>
    <row r="243" customFormat="false" ht="15.75" hidden="false" customHeight="true" outlineLevel="0" collapsed="false">
      <c r="A243" s="5" t="s">
        <v>103</v>
      </c>
      <c r="B243" s="6" t="n">
        <v>33689895</v>
      </c>
      <c r="C243" s="17" t="s">
        <v>17</v>
      </c>
      <c r="D243" s="16" t="s">
        <v>75</v>
      </c>
      <c r="E243" s="12" t="str">
        <f aca="false">IFERROR(__xludf.dummyfunction("""COMPUTED_VALUE"""),"Mannocchi Valentina")</f>
        <v>Mannocchi Valentina</v>
      </c>
      <c r="F243" s="10" t="str">
        <f aca="false">IFERROR(__xludf.dummyfunction("""COMPUTED_VALUE"""),"Martes")</f>
        <v>Martes</v>
      </c>
      <c r="G243" s="11" t="n">
        <f aca="false">IFERROR(__xludf.dummyfunction("""COMPUTED_VALUE"""),0.333333333333333)</f>
        <v>0.333333333333333</v>
      </c>
      <c r="H243" s="11" t="n">
        <f aca="false">IFERROR(__xludf.dummyfunction("""COMPUTED_VALUE"""),0.5)</f>
        <v>0.5</v>
      </c>
      <c r="I243" s="12" t="str">
        <f aca="false">IFERROR(__xludf.dummyfunction("""COMPUTED_VALUE"""),"AULA JS-006-")</f>
        <v>AULA JS-006-</v>
      </c>
      <c r="J243" s="12" t="str">
        <f aca="false">IFERROR(__xludf.dummyfunction("""COMPUTED_VALUE"""),"JUSTICIA SOCIAL")</f>
        <v>JUSTICIA SOCIAL</v>
      </c>
      <c r="K243" s="13" t="s">
        <v>93</v>
      </c>
      <c r="L243" s="14" t="n">
        <v>4</v>
      </c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</row>
    <row r="244" customFormat="false" ht="15.75" hidden="false" customHeight="true" outlineLevel="0" collapsed="false">
      <c r="A244" s="5" t="s">
        <v>103</v>
      </c>
      <c r="B244" s="6" t="n">
        <v>33689895</v>
      </c>
      <c r="C244" s="7" t="s">
        <v>13</v>
      </c>
      <c r="D244" s="16" t="s">
        <v>75</v>
      </c>
      <c r="E244" s="12" t="str">
        <f aca="false">IFERROR(__xludf.dummyfunction("""COMPUTED_VALUE"""),"Spanu Florencia Belén")</f>
        <v>Spanu Florencia Belén</v>
      </c>
      <c r="F244" s="10" t="str">
        <f aca="false">IFERROR(__xludf.dummyfunction("""COMPUTED_VALUE"""),"Jueves")</f>
        <v>Jueves</v>
      </c>
      <c r="G244" s="11" t="n">
        <f aca="false">IFERROR(__xludf.dummyfunction("""COMPUTED_VALUE"""),0.333333333333333)</f>
        <v>0.333333333333333</v>
      </c>
      <c r="H244" s="11" t="n">
        <f aca="false">IFERROR(__xludf.dummyfunction("""COMPUTED_VALUE"""),0.5)</f>
        <v>0.5</v>
      </c>
      <c r="I244" s="12" t="str">
        <f aca="false">IFERROR(__xludf.dummyfunction("""COMPUTED_VALUE"""),"AULA JS-006-")</f>
        <v>AULA JS-006-</v>
      </c>
      <c r="J244" s="12" t="str">
        <f aca="false">IFERROR(__xludf.dummyfunction("""COMPUTED_VALUE"""),"JUSTICIA SOCIAL")</f>
        <v>JUSTICIA SOCIAL</v>
      </c>
      <c r="K244" s="13" t="s">
        <v>93</v>
      </c>
      <c r="L244" s="14" t="n">
        <v>4</v>
      </c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</row>
    <row r="245" customFormat="false" ht="15.75" hidden="false" customHeight="true" outlineLevel="0" collapsed="false">
      <c r="A245" s="5" t="s">
        <v>103</v>
      </c>
      <c r="B245" s="6" t="n">
        <v>33689895</v>
      </c>
      <c r="C245" s="7" t="s">
        <v>16</v>
      </c>
      <c r="D245" s="16" t="s">
        <v>75</v>
      </c>
      <c r="E245" s="12" t="str">
        <f aca="false">IFERROR(__xludf.dummyfunction("""COMPUTED_VALUE"""),"Fariña Silvana Mariel")</f>
        <v>Fariña Silvana Mariel</v>
      </c>
      <c r="F245" s="10" t="str">
        <f aca="false">IFERROR(__xludf.dummyfunction("""COMPUTED_VALUE"""),"Sábado")</f>
        <v>Sábado</v>
      </c>
      <c r="G245" s="11" t="n">
        <f aca="false">IFERROR(__xludf.dummyfunction("""COMPUTED_VALUE"""),0.375)</f>
        <v>0.375</v>
      </c>
      <c r="H245" s="11" t="n">
        <f aca="false">IFERROR(__xludf.dummyfunction("""COMPUTED_VALUE"""),0.541666666666666)</f>
        <v>0.541666666666666</v>
      </c>
      <c r="I245" s="12" t="str">
        <f aca="false">IFERROR(__xludf.dummyfunction("""COMPUTED_VALUE"""),"AULA JS-006-")</f>
        <v>AULA JS-006-</v>
      </c>
      <c r="J245" s="12" t="str">
        <f aca="false">IFERROR(__xludf.dummyfunction("""COMPUTED_VALUE"""),"JUSTICIA SOCIAL")</f>
        <v>JUSTICIA SOCIAL</v>
      </c>
      <c r="K245" s="13" t="s">
        <v>93</v>
      </c>
      <c r="L245" s="14" t="n">
        <v>2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</row>
    <row r="246" customFormat="false" ht="15.75" hidden="false" customHeight="true" outlineLevel="0" collapsed="false">
      <c r="A246" s="5" t="s">
        <v>104</v>
      </c>
      <c r="B246" s="6" t="n">
        <v>42757216</v>
      </c>
      <c r="C246" s="17" t="s">
        <v>17</v>
      </c>
      <c r="D246" s="16" t="s">
        <v>75</v>
      </c>
      <c r="E246" s="12" t="str">
        <f aca="false">IFERROR(__xludf.dummyfunction("""COMPUTED_VALUE"""),"Mannocchi Valentina")</f>
        <v>Mannocchi Valentina</v>
      </c>
      <c r="F246" s="10" t="str">
        <f aca="false">IFERROR(__xludf.dummyfunction("""COMPUTED_VALUE"""),"Martes")</f>
        <v>Martes</v>
      </c>
      <c r="G246" s="11" t="n">
        <f aca="false">IFERROR(__xludf.dummyfunction("""COMPUTED_VALUE"""),0.333333333333333)</f>
        <v>0.333333333333333</v>
      </c>
      <c r="H246" s="11" t="n">
        <f aca="false">IFERROR(__xludf.dummyfunction("""COMPUTED_VALUE"""),0.5)</f>
        <v>0.5</v>
      </c>
      <c r="I246" s="12" t="str">
        <f aca="false">IFERROR(__xludf.dummyfunction("""COMPUTED_VALUE"""),"AULA JS-006-")</f>
        <v>AULA JS-006-</v>
      </c>
      <c r="J246" s="12" t="str">
        <f aca="false">IFERROR(__xludf.dummyfunction("""COMPUTED_VALUE"""),"JUSTICIA SOCIAL")</f>
        <v>JUSTICIA SOCIAL</v>
      </c>
      <c r="K246" s="13" t="s">
        <v>93</v>
      </c>
      <c r="L246" s="14" t="n">
        <v>2</v>
      </c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 customFormat="false" ht="15.75" hidden="false" customHeight="true" outlineLevel="0" collapsed="false">
      <c r="A247" s="5" t="s">
        <v>104</v>
      </c>
      <c r="B247" s="6" t="n">
        <v>42757216</v>
      </c>
      <c r="C247" s="7" t="s">
        <v>13</v>
      </c>
      <c r="D247" s="16" t="s">
        <v>75</v>
      </c>
      <c r="E247" s="12" t="str">
        <f aca="false">IFERROR(__xludf.dummyfunction("""COMPUTED_VALUE"""),"Spanu Florencia Belén")</f>
        <v>Spanu Florencia Belén</v>
      </c>
      <c r="F247" s="10" t="str">
        <f aca="false">IFERROR(__xludf.dummyfunction("""COMPUTED_VALUE"""),"Jueves")</f>
        <v>Jueves</v>
      </c>
      <c r="G247" s="11" t="n">
        <f aca="false">IFERROR(__xludf.dummyfunction("""COMPUTED_VALUE"""),0.333333333333333)</f>
        <v>0.333333333333333</v>
      </c>
      <c r="H247" s="11" t="n">
        <f aca="false">IFERROR(__xludf.dummyfunction("""COMPUTED_VALUE"""),0.5)</f>
        <v>0.5</v>
      </c>
      <c r="I247" s="12" t="str">
        <f aca="false">IFERROR(__xludf.dummyfunction("""COMPUTED_VALUE"""),"AULA JS-006-")</f>
        <v>AULA JS-006-</v>
      </c>
      <c r="J247" s="12" t="str">
        <f aca="false">IFERROR(__xludf.dummyfunction("""COMPUTED_VALUE"""),"JUSTICIA SOCIAL")</f>
        <v>JUSTICIA SOCIAL</v>
      </c>
      <c r="K247" s="13" t="s">
        <v>93</v>
      </c>
      <c r="L247" s="14" t="n">
        <v>2</v>
      </c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</row>
    <row r="248" customFormat="false" ht="15.75" hidden="false" customHeight="true" outlineLevel="0" collapsed="false">
      <c r="A248" s="5" t="s">
        <v>104</v>
      </c>
      <c r="B248" s="6" t="n">
        <v>42757216</v>
      </c>
      <c r="C248" s="7" t="s">
        <v>16</v>
      </c>
      <c r="D248" s="16" t="s">
        <v>75</v>
      </c>
      <c r="E248" s="12" t="str">
        <f aca="false">IFERROR(__xludf.dummyfunction("""COMPUTED_VALUE"""),"Fariña Silvana Mariel")</f>
        <v>Fariña Silvana Mariel</v>
      </c>
      <c r="F248" s="10" t="str">
        <f aca="false">IFERROR(__xludf.dummyfunction("""COMPUTED_VALUE"""),"Sábado")</f>
        <v>Sábado</v>
      </c>
      <c r="G248" s="11" t="n">
        <f aca="false">IFERROR(__xludf.dummyfunction("""COMPUTED_VALUE"""),0.375)</f>
        <v>0.375</v>
      </c>
      <c r="H248" s="11" t="n">
        <f aca="false">IFERROR(__xludf.dummyfunction("""COMPUTED_VALUE"""),0.541666666666666)</f>
        <v>0.541666666666666</v>
      </c>
      <c r="I248" s="12" t="str">
        <f aca="false">IFERROR(__xludf.dummyfunction("""COMPUTED_VALUE"""),"AULA JS-006-")</f>
        <v>AULA JS-006-</v>
      </c>
      <c r="J248" s="12" t="str">
        <f aca="false">IFERROR(__xludf.dummyfunction("""COMPUTED_VALUE"""),"JUSTICIA SOCIAL")</f>
        <v>JUSTICIA SOCIAL</v>
      </c>
      <c r="K248" s="13" t="s">
        <v>93</v>
      </c>
      <c r="L248" s="14" t="n">
        <v>6</v>
      </c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</row>
    <row r="249" customFormat="false" ht="15.75" hidden="false" customHeight="true" outlineLevel="0" collapsed="false">
      <c r="A249" s="5" t="s">
        <v>105</v>
      </c>
      <c r="B249" s="6" t="n">
        <v>21326995</v>
      </c>
      <c r="C249" s="17" t="s">
        <v>17</v>
      </c>
      <c r="D249" s="16" t="s">
        <v>75</v>
      </c>
      <c r="E249" s="12" t="str">
        <f aca="false">IFERROR(__xludf.dummyfunction("""COMPUTED_VALUE"""),"Mannocchi Valentina")</f>
        <v>Mannocchi Valentina</v>
      </c>
      <c r="F249" s="10" t="str">
        <f aca="false">IFERROR(__xludf.dummyfunction("""COMPUTED_VALUE"""),"Martes")</f>
        <v>Martes</v>
      </c>
      <c r="G249" s="11" t="n">
        <f aca="false">IFERROR(__xludf.dummyfunction("""COMPUTED_VALUE"""),0.333333333333333)</f>
        <v>0.333333333333333</v>
      </c>
      <c r="H249" s="11" t="n">
        <f aca="false">IFERROR(__xludf.dummyfunction("""COMPUTED_VALUE"""),0.5)</f>
        <v>0.5</v>
      </c>
      <c r="I249" s="12" t="str">
        <f aca="false">IFERROR(__xludf.dummyfunction("""COMPUTED_VALUE"""),"AULA JS-006-")</f>
        <v>AULA JS-006-</v>
      </c>
      <c r="J249" s="12" t="str">
        <f aca="false">IFERROR(__xludf.dummyfunction("""COMPUTED_VALUE"""),"JUSTICIA SOCIAL")</f>
        <v>JUSTICIA SOCIAL</v>
      </c>
      <c r="K249" s="13" t="s">
        <v>93</v>
      </c>
      <c r="L249" s="14" t="n">
        <v>6</v>
      </c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</row>
    <row r="250" customFormat="false" ht="15.75" hidden="false" customHeight="true" outlineLevel="0" collapsed="false">
      <c r="A250" s="5" t="s">
        <v>105</v>
      </c>
      <c r="B250" s="6" t="n">
        <v>21326995</v>
      </c>
      <c r="C250" s="7" t="s">
        <v>13</v>
      </c>
      <c r="D250" s="16" t="s">
        <v>75</v>
      </c>
      <c r="E250" s="12" t="str">
        <f aca="false">IFERROR(__xludf.dummyfunction("""COMPUTED_VALUE"""),"Spanu Florencia Belén")</f>
        <v>Spanu Florencia Belén</v>
      </c>
      <c r="F250" s="10" t="str">
        <f aca="false">IFERROR(__xludf.dummyfunction("""COMPUTED_VALUE"""),"Jueves")</f>
        <v>Jueves</v>
      </c>
      <c r="G250" s="11" t="n">
        <f aca="false">IFERROR(__xludf.dummyfunction("""COMPUTED_VALUE"""),0.333333333333333)</f>
        <v>0.333333333333333</v>
      </c>
      <c r="H250" s="11" t="n">
        <f aca="false">IFERROR(__xludf.dummyfunction("""COMPUTED_VALUE"""),0.5)</f>
        <v>0.5</v>
      </c>
      <c r="I250" s="12" t="str">
        <f aca="false">IFERROR(__xludf.dummyfunction("""COMPUTED_VALUE"""),"AULA JS-006-")</f>
        <v>AULA JS-006-</v>
      </c>
      <c r="J250" s="12" t="str">
        <f aca="false">IFERROR(__xludf.dummyfunction("""COMPUTED_VALUE"""),"JUSTICIA SOCIAL")</f>
        <v>JUSTICIA SOCIAL</v>
      </c>
      <c r="K250" s="13" t="s">
        <v>93</v>
      </c>
      <c r="L250" s="14" t="n">
        <v>6</v>
      </c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</row>
    <row r="251" customFormat="false" ht="15.75" hidden="false" customHeight="true" outlineLevel="0" collapsed="false">
      <c r="A251" s="5" t="s">
        <v>105</v>
      </c>
      <c r="B251" s="6" t="n">
        <v>21326995</v>
      </c>
      <c r="C251" s="7" t="s">
        <v>16</v>
      </c>
      <c r="D251" s="16" t="s">
        <v>75</v>
      </c>
      <c r="E251" s="12" t="str">
        <f aca="false">IFERROR(__xludf.dummyfunction("""COMPUTED_VALUE"""),"Fariña Silvana Mariel")</f>
        <v>Fariña Silvana Mariel</v>
      </c>
      <c r="F251" s="10" t="str">
        <f aca="false">IFERROR(__xludf.dummyfunction("""COMPUTED_VALUE"""),"Sábado")</f>
        <v>Sábado</v>
      </c>
      <c r="G251" s="11" t="n">
        <f aca="false">IFERROR(__xludf.dummyfunction("""COMPUTED_VALUE"""),0.375)</f>
        <v>0.375</v>
      </c>
      <c r="H251" s="11" t="n">
        <f aca="false">IFERROR(__xludf.dummyfunction("""COMPUTED_VALUE"""),0.541666666666666)</f>
        <v>0.541666666666666</v>
      </c>
      <c r="I251" s="12" t="str">
        <f aca="false">IFERROR(__xludf.dummyfunction("""COMPUTED_VALUE"""),"AULA JS-006-")</f>
        <v>AULA JS-006-</v>
      </c>
      <c r="J251" s="12" t="str">
        <f aca="false">IFERROR(__xludf.dummyfunction("""COMPUTED_VALUE"""),"JUSTICIA SOCIAL")</f>
        <v>JUSTICIA SOCIAL</v>
      </c>
      <c r="K251" s="13" t="s">
        <v>93</v>
      </c>
      <c r="L251" s="14" t="n">
        <v>1</v>
      </c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</row>
    <row r="252" customFormat="false" ht="15.75" hidden="false" customHeight="true" outlineLevel="0" collapsed="false">
      <c r="A252" s="5" t="s">
        <v>106</v>
      </c>
      <c r="B252" s="6" t="n">
        <v>29023423</v>
      </c>
      <c r="C252" s="17" t="s">
        <v>17</v>
      </c>
      <c r="D252" s="16" t="s">
        <v>75</v>
      </c>
      <c r="E252" s="12" t="str">
        <f aca="false">IFERROR(__xludf.dummyfunction("""COMPUTED_VALUE"""),"Mannocchi Valentina")</f>
        <v>Mannocchi Valentina</v>
      </c>
      <c r="F252" s="10" t="str">
        <f aca="false">IFERROR(__xludf.dummyfunction("""COMPUTED_VALUE"""),"Martes")</f>
        <v>Martes</v>
      </c>
      <c r="G252" s="11" t="n">
        <f aca="false">IFERROR(__xludf.dummyfunction("""COMPUTED_VALUE"""),0.333333333333333)</f>
        <v>0.333333333333333</v>
      </c>
      <c r="H252" s="11" t="n">
        <f aca="false">IFERROR(__xludf.dummyfunction("""COMPUTED_VALUE"""),0.5)</f>
        <v>0.5</v>
      </c>
      <c r="I252" s="12" t="str">
        <f aca="false">IFERROR(__xludf.dummyfunction("""COMPUTED_VALUE"""),"AULA JS-006-")</f>
        <v>AULA JS-006-</v>
      </c>
      <c r="J252" s="12" t="str">
        <f aca="false">IFERROR(__xludf.dummyfunction("""COMPUTED_VALUE"""),"JUSTICIA SOCIAL")</f>
        <v>JUSTICIA SOCIAL</v>
      </c>
      <c r="K252" s="13" t="s">
        <v>93</v>
      </c>
      <c r="L252" s="14" t="n">
        <v>1</v>
      </c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</row>
    <row r="253" customFormat="false" ht="15.75" hidden="false" customHeight="true" outlineLevel="0" collapsed="false">
      <c r="A253" s="5" t="s">
        <v>106</v>
      </c>
      <c r="B253" s="6" t="n">
        <v>29023423</v>
      </c>
      <c r="C253" s="7" t="s">
        <v>13</v>
      </c>
      <c r="D253" s="16" t="s">
        <v>75</v>
      </c>
      <c r="E253" s="12" t="str">
        <f aca="false">IFERROR(__xludf.dummyfunction("""COMPUTED_VALUE"""),"Spanu Florencia Belén")</f>
        <v>Spanu Florencia Belén</v>
      </c>
      <c r="F253" s="10" t="str">
        <f aca="false">IFERROR(__xludf.dummyfunction("""COMPUTED_VALUE"""),"Jueves")</f>
        <v>Jueves</v>
      </c>
      <c r="G253" s="11" t="n">
        <f aca="false">IFERROR(__xludf.dummyfunction("""COMPUTED_VALUE"""),0.333333333333333)</f>
        <v>0.333333333333333</v>
      </c>
      <c r="H253" s="11" t="n">
        <f aca="false">IFERROR(__xludf.dummyfunction("""COMPUTED_VALUE"""),0.5)</f>
        <v>0.5</v>
      </c>
      <c r="I253" s="12" t="str">
        <f aca="false">IFERROR(__xludf.dummyfunction("""COMPUTED_VALUE"""),"AULA JS-006-")</f>
        <v>AULA JS-006-</v>
      </c>
      <c r="J253" s="12" t="str">
        <f aca="false">IFERROR(__xludf.dummyfunction("""COMPUTED_VALUE"""),"JUSTICIA SOCIAL")</f>
        <v>JUSTICIA SOCIAL</v>
      </c>
      <c r="K253" s="13" t="s">
        <v>93</v>
      </c>
      <c r="L253" s="14" t="n">
        <v>1</v>
      </c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</row>
    <row r="254" customFormat="false" ht="15.75" hidden="false" customHeight="true" outlineLevel="0" collapsed="false">
      <c r="A254" s="5" t="s">
        <v>106</v>
      </c>
      <c r="B254" s="6" t="n">
        <v>29023423</v>
      </c>
      <c r="C254" s="7" t="s">
        <v>16</v>
      </c>
      <c r="D254" s="16" t="s">
        <v>75</v>
      </c>
      <c r="E254" s="12" t="str">
        <f aca="false">IFERROR(__xludf.dummyfunction("""COMPUTED_VALUE"""),"Fariña Silvana Mariel")</f>
        <v>Fariña Silvana Mariel</v>
      </c>
      <c r="F254" s="10" t="str">
        <f aca="false">IFERROR(__xludf.dummyfunction("""COMPUTED_VALUE"""),"Sábado")</f>
        <v>Sábado</v>
      </c>
      <c r="G254" s="11" t="n">
        <f aca="false">IFERROR(__xludf.dummyfunction("""COMPUTED_VALUE"""),0.375)</f>
        <v>0.375</v>
      </c>
      <c r="H254" s="11" t="n">
        <f aca="false">IFERROR(__xludf.dummyfunction("""COMPUTED_VALUE"""),0.541666666666666)</f>
        <v>0.541666666666666</v>
      </c>
      <c r="I254" s="12" t="str">
        <f aca="false">IFERROR(__xludf.dummyfunction("""COMPUTED_VALUE"""),"AULA JS-006-")</f>
        <v>AULA JS-006-</v>
      </c>
      <c r="J254" s="12" t="str">
        <f aca="false">IFERROR(__xludf.dummyfunction("""COMPUTED_VALUE"""),"JUSTICIA SOCIAL")</f>
        <v>JUSTICIA SOCIAL</v>
      </c>
      <c r="K254" s="13" t="s">
        <v>93</v>
      </c>
      <c r="L254" s="14" t="n">
        <v>1</v>
      </c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</row>
    <row r="255" customFormat="false" ht="15.75" hidden="false" customHeight="true" outlineLevel="0" collapsed="false">
      <c r="A255" s="5" t="s">
        <v>107</v>
      </c>
      <c r="B255" s="6" t="n">
        <v>48981572</v>
      </c>
      <c r="C255" s="17" t="s">
        <v>17</v>
      </c>
      <c r="D255" s="16" t="s">
        <v>75</v>
      </c>
      <c r="E255" s="12" t="str">
        <f aca="false">IFERROR(__xludf.dummyfunction("""COMPUTED_VALUE"""),"Mannocchi Valentina")</f>
        <v>Mannocchi Valentina</v>
      </c>
      <c r="F255" s="10" t="str">
        <f aca="false">IFERROR(__xludf.dummyfunction("""COMPUTED_VALUE"""),"Martes")</f>
        <v>Martes</v>
      </c>
      <c r="G255" s="11" t="n">
        <f aca="false">IFERROR(__xludf.dummyfunction("""COMPUTED_VALUE"""),0.333333333333333)</f>
        <v>0.333333333333333</v>
      </c>
      <c r="H255" s="11" t="n">
        <f aca="false">IFERROR(__xludf.dummyfunction("""COMPUTED_VALUE"""),0.5)</f>
        <v>0.5</v>
      </c>
      <c r="I255" s="12" t="str">
        <f aca="false">IFERROR(__xludf.dummyfunction("""COMPUTED_VALUE"""),"AULA JS-006-")</f>
        <v>AULA JS-006-</v>
      </c>
      <c r="J255" s="12" t="str">
        <f aca="false">IFERROR(__xludf.dummyfunction("""COMPUTED_VALUE"""),"JUSTICIA SOCIAL")</f>
        <v>JUSTICIA SOCIAL</v>
      </c>
      <c r="K255" s="13" t="s">
        <v>93</v>
      </c>
      <c r="L255" s="14" t="n">
        <v>1</v>
      </c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</row>
    <row r="256" customFormat="false" ht="15.75" hidden="false" customHeight="true" outlineLevel="0" collapsed="false">
      <c r="A256" s="5" t="s">
        <v>107</v>
      </c>
      <c r="B256" s="6" t="n">
        <v>48981572</v>
      </c>
      <c r="C256" s="7" t="s">
        <v>13</v>
      </c>
      <c r="D256" s="16" t="s">
        <v>75</v>
      </c>
      <c r="E256" s="12" t="str">
        <f aca="false">IFERROR(__xludf.dummyfunction("""COMPUTED_VALUE"""),"Spanu Florencia Belén")</f>
        <v>Spanu Florencia Belén</v>
      </c>
      <c r="F256" s="10" t="str">
        <f aca="false">IFERROR(__xludf.dummyfunction("""COMPUTED_VALUE"""),"Jueves")</f>
        <v>Jueves</v>
      </c>
      <c r="G256" s="11" t="n">
        <f aca="false">IFERROR(__xludf.dummyfunction("""COMPUTED_VALUE"""),0.333333333333333)</f>
        <v>0.333333333333333</v>
      </c>
      <c r="H256" s="11" t="n">
        <f aca="false">IFERROR(__xludf.dummyfunction("""COMPUTED_VALUE"""),0.5)</f>
        <v>0.5</v>
      </c>
      <c r="I256" s="12" t="str">
        <f aca="false">IFERROR(__xludf.dummyfunction("""COMPUTED_VALUE"""),"AULA JS-006-")</f>
        <v>AULA JS-006-</v>
      </c>
      <c r="J256" s="12" t="str">
        <f aca="false">IFERROR(__xludf.dummyfunction("""COMPUTED_VALUE"""),"JUSTICIA SOCIAL")</f>
        <v>JUSTICIA SOCIAL</v>
      </c>
      <c r="K256" s="13" t="s">
        <v>93</v>
      </c>
      <c r="L256" s="14" t="n">
        <v>1</v>
      </c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</row>
    <row r="257" customFormat="false" ht="15.75" hidden="false" customHeight="true" outlineLevel="0" collapsed="false">
      <c r="A257" s="5" t="s">
        <v>107</v>
      </c>
      <c r="B257" s="6" t="n">
        <v>48981572</v>
      </c>
      <c r="C257" s="7" t="s">
        <v>16</v>
      </c>
      <c r="D257" s="16" t="s">
        <v>75</v>
      </c>
      <c r="E257" s="12" t="str">
        <f aca="false">IFERROR(__xludf.dummyfunction("""COMPUTED_VALUE"""),"Fariña Silvana Mariel")</f>
        <v>Fariña Silvana Mariel</v>
      </c>
      <c r="F257" s="10" t="str">
        <f aca="false">IFERROR(__xludf.dummyfunction("""COMPUTED_VALUE"""),"Sábado")</f>
        <v>Sábado</v>
      </c>
      <c r="G257" s="11" t="n">
        <f aca="false">IFERROR(__xludf.dummyfunction("""COMPUTED_VALUE"""),0.375)</f>
        <v>0.375</v>
      </c>
      <c r="H257" s="11" t="n">
        <f aca="false">IFERROR(__xludf.dummyfunction("""COMPUTED_VALUE"""),0.541666666666666)</f>
        <v>0.541666666666666</v>
      </c>
      <c r="I257" s="12" t="str">
        <f aca="false">IFERROR(__xludf.dummyfunction("""COMPUTED_VALUE"""),"AULA JS-006-")</f>
        <v>AULA JS-006-</v>
      </c>
      <c r="J257" s="12" t="str">
        <f aca="false">IFERROR(__xludf.dummyfunction("""COMPUTED_VALUE"""),"JUSTICIA SOCIAL")</f>
        <v>JUSTICIA SOCIAL</v>
      </c>
      <c r="K257" s="13" t="s">
        <v>93</v>
      </c>
      <c r="L257" s="14" t="n">
        <v>5</v>
      </c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</row>
    <row r="258" customFormat="false" ht="15.75" hidden="false" customHeight="true" outlineLevel="0" collapsed="false">
      <c r="A258" s="5" t="s">
        <v>108</v>
      </c>
      <c r="B258" s="6" t="n">
        <v>45563766</v>
      </c>
      <c r="C258" s="17" t="s">
        <v>17</v>
      </c>
      <c r="D258" s="16" t="s">
        <v>75</v>
      </c>
      <c r="E258" s="12" t="str">
        <f aca="false">IFERROR(__xludf.dummyfunction("""COMPUTED_VALUE"""),"Mannocchi Valentina")</f>
        <v>Mannocchi Valentina</v>
      </c>
      <c r="F258" s="10" t="str">
        <f aca="false">IFERROR(__xludf.dummyfunction("""COMPUTED_VALUE"""),"Martes")</f>
        <v>Martes</v>
      </c>
      <c r="G258" s="11" t="n">
        <f aca="false">IFERROR(__xludf.dummyfunction("""COMPUTED_VALUE"""),0.333333333333333)</f>
        <v>0.333333333333333</v>
      </c>
      <c r="H258" s="11" t="n">
        <f aca="false">IFERROR(__xludf.dummyfunction("""COMPUTED_VALUE"""),0.5)</f>
        <v>0.5</v>
      </c>
      <c r="I258" s="12" t="str">
        <f aca="false">IFERROR(__xludf.dummyfunction("""COMPUTED_VALUE"""),"AULA JS-006-")</f>
        <v>AULA JS-006-</v>
      </c>
      <c r="J258" s="12" t="str">
        <f aca="false">IFERROR(__xludf.dummyfunction("""COMPUTED_VALUE"""),"JUSTICIA SOCIAL")</f>
        <v>JUSTICIA SOCIAL</v>
      </c>
      <c r="K258" s="13" t="s">
        <v>93</v>
      </c>
      <c r="L258" s="14" t="n">
        <v>5</v>
      </c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</row>
    <row r="259" customFormat="false" ht="15.75" hidden="false" customHeight="true" outlineLevel="0" collapsed="false">
      <c r="A259" s="5" t="s">
        <v>108</v>
      </c>
      <c r="B259" s="6" t="n">
        <v>45563766</v>
      </c>
      <c r="C259" s="7" t="s">
        <v>13</v>
      </c>
      <c r="D259" s="16" t="s">
        <v>75</v>
      </c>
      <c r="E259" s="12" t="str">
        <f aca="false">IFERROR(__xludf.dummyfunction("""COMPUTED_VALUE"""),"Spanu Florencia Belén")</f>
        <v>Spanu Florencia Belén</v>
      </c>
      <c r="F259" s="10" t="str">
        <f aca="false">IFERROR(__xludf.dummyfunction("""COMPUTED_VALUE"""),"Jueves")</f>
        <v>Jueves</v>
      </c>
      <c r="G259" s="11" t="n">
        <f aca="false">IFERROR(__xludf.dummyfunction("""COMPUTED_VALUE"""),0.333333333333333)</f>
        <v>0.333333333333333</v>
      </c>
      <c r="H259" s="11" t="n">
        <f aca="false">IFERROR(__xludf.dummyfunction("""COMPUTED_VALUE"""),0.5)</f>
        <v>0.5</v>
      </c>
      <c r="I259" s="12" t="str">
        <f aca="false">IFERROR(__xludf.dummyfunction("""COMPUTED_VALUE"""),"AULA JS-006-")</f>
        <v>AULA JS-006-</v>
      </c>
      <c r="J259" s="12" t="str">
        <f aca="false">IFERROR(__xludf.dummyfunction("""COMPUTED_VALUE"""),"JUSTICIA SOCIAL")</f>
        <v>JUSTICIA SOCIAL</v>
      </c>
      <c r="K259" s="13" t="s">
        <v>93</v>
      </c>
      <c r="L259" s="14" t="n">
        <v>5</v>
      </c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</row>
    <row r="260" customFormat="false" ht="15.75" hidden="false" customHeight="true" outlineLevel="0" collapsed="false">
      <c r="A260" s="5" t="s">
        <v>108</v>
      </c>
      <c r="B260" s="6" t="n">
        <v>45563766</v>
      </c>
      <c r="C260" s="7" t="s">
        <v>16</v>
      </c>
      <c r="D260" s="16" t="s">
        <v>75</v>
      </c>
      <c r="E260" s="12" t="str">
        <f aca="false">IFERROR(__xludf.dummyfunction("""COMPUTED_VALUE"""),"Fariña Silvana Mariel")</f>
        <v>Fariña Silvana Mariel</v>
      </c>
      <c r="F260" s="10" t="str">
        <f aca="false">IFERROR(__xludf.dummyfunction("""COMPUTED_VALUE"""),"Sábado")</f>
        <v>Sábado</v>
      </c>
      <c r="G260" s="11" t="n">
        <f aca="false">IFERROR(__xludf.dummyfunction("""COMPUTED_VALUE"""),0.375)</f>
        <v>0.375</v>
      </c>
      <c r="H260" s="11" t="n">
        <f aca="false">IFERROR(__xludf.dummyfunction("""COMPUTED_VALUE"""),0.541666666666666)</f>
        <v>0.541666666666666</v>
      </c>
      <c r="I260" s="12" t="str">
        <f aca="false">IFERROR(__xludf.dummyfunction("""COMPUTED_VALUE"""),"AULA JS-006-")</f>
        <v>AULA JS-006-</v>
      </c>
      <c r="J260" s="12" t="str">
        <f aca="false">IFERROR(__xludf.dummyfunction("""COMPUTED_VALUE"""),"JUSTICIA SOCIAL")</f>
        <v>JUSTICIA SOCIAL</v>
      </c>
      <c r="K260" s="13" t="s">
        <v>93</v>
      </c>
      <c r="L260" s="14" t="n">
        <v>1</v>
      </c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</row>
    <row r="261" customFormat="false" ht="15.75" hidden="false" customHeight="true" outlineLevel="0" collapsed="false">
      <c r="A261" s="5" t="s">
        <v>109</v>
      </c>
      <c r="B261" s="6" t="n">
        <v>40787500</v>
      </c>
      <c r="C261" s="17" t="s">
        <v>17</v>
      </c>
      <c r="D261" s="16" t="s">
        <v>75</v>
      </c>
      <c r="E261" s="12" t="str">
        <f aca="false">IFERROR(__xludf.dummyfunction("""COMPUTED_VALUE"""),"Mannocchi Valentina")</f>
        <v>Mannocchi Valentina</v>
      </c>
      <c r="F261" s="10" t="str">
        <f aca="false">IFERROR(__xludf.dummyfunction("""COMPUTED_VALUE"""),"Martes")</f>
        <v>Martes</v>
      </c>
      <c r="G261" s="11" t="n">
        <f aca="false">IFERROR(__xludf.dummyfunction("""COMPUTED_VALUE"""),0.333333333333333)</f>
        <v>0.333333333333333</v>
      </c>
      <c r="H261" s="11" t="n">
        <f aca="false">IFERROR(__xludf.dummyfunction("""COMPUTED_VALUE"""),0.5)</f>
        <v>0.5</v>
      </c>
      <c r="I261" s="12" t="str">
        <f aca="false">IFERROR(__xludf.dummyfunction("""COMPUTED_VALUE"""),"AULA JS-006-")</f>
        <v>AULA JS-006-</v>
      </c>
      <c r="J261" s="12" t="str">
        <f aca="false">IFERROR(__xludf.dummyfunction("""COMPUTED_VALUE"""),"JUSTICIA SOCIAL")</f>
        <v>JUSTICIA SOCIAL</v>
      </c>
      <c r="K261" s="13" t="s">
        <v>93</v>
      </c>
      <c r="L261" s="14" t="n">
        <v>1</v>
      </c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</row>
    <row r="262" customFormat="false" ht="15.75" hidden="false" customHeight="true" outlineLevel="0" collapsed="false">
      <c r="A262" s="5" t="s">
        <v>109</v>
      </c>
      <c r="B262" s="6" t="n">
        <v>40787500</v>
      </c>
      <c r="C262" s="7" t="s">
        <v>13</v>
      </c>
      <c r="D262" s="16" t="s">
        <v>75</v>
      </c>
      <c r="E262" s="12" t="str">
        <f aca="false">IFERROR(__xludf.dummyfunction("""COMPUTED_VALUE"""),"Spanu Florencia Belén")</f>
        <v>Spanu Florencia Belén</v>
      </c>
      <c r="F262" s="10" t="str">
        <f aca="false">IFERROR(__xludf.dummyfunction("""COMPUTED_VALUE"""),"Jueves")</f>
        <v>Jueves</v>
      </c>
      <c r="G262" s="11" t="n">
        <f aca="false">IFERROR(__xludf.dummyfunction("""COMPUTED_VALUE"""),0.333333333333333)</f>
        <v>0.333333333333333</v>
      </c>
      <c r="H262" s="11" t="n">
        <f aca="false">IFERROR(__xludf.dummyfunction("""COMPUTED_VALUE"""),0.5)</f>
        <v>0.5</v>
      </c>
      <c r="I262" s="12" t="str">
        <f aca="false">IFERROR(__xludf.dummyfunction("""COMPUTED_VALUE"""),"AULA JS-006-")</f>
        <v>AULA JS-006-</v>
      </c>
      <c r="J262" s="12" t="str">
        <f aca="false">IFERROR(__xludf.dummyfunction("""COMPUTED_VALUE"""),"JUSTICIA SOCIAL")</f>
        <v>JUSTICIA SOCIAL</v>
      </c>
      <c r="K262" s="13" t="s">
        <v>93</v>
      </c>
      <c r="L262" s="14" t="n">
        <v>1</v>
      </c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</row>
    <row r="263" customFormat="false" ht="15.75" hidden="false" customHeight="true" outlineLevel="0" collapsed="false">
      <c r="A263" s="5" t="s">
        <v>109</v>
      </c>
      <c r="B263" s="6" t="n">
        <v>40787500</v>
      </c>
      <c r="C263" s="7" t="s">
        <v>16</v>
      </c>
      <c r="D263" s="16" t="s">
        <v>75</v>
      </c>
      <c r="E263" s="12" t="str">
        <f aca="false">IFERROR(__xludf.dummyfunction("""COMPUTED_VALUE"""),"Fariña Silvana Mariel")</f>
        <v>Fariña Silvana Mariel</v>
      </c>
      <c r="F263" s="10" t="str">
        <f aca="false">IFERROR(__xludf.dummyfunction("""COMPUTED_VALUE"""),"Sábado")</f>
        <v>Sábado</v>
      </c>
      <c r="G263" s="11" t="n">
        <f aca="false">IFERROR(__xludf.dummyfunction("""COMPUTED_VALUE"""),0.375)</f>
        <v>0.375</v>
      </c>
      <c r="H263" s="11" t="n">
        <f aca="false">IFERROR(__xludf.dummyfunction("""COMPUTED_VALUE"""),0.541666666666666)</f>
        <v>0.541666666666666</v>
      </c>
      <c r="I263" s="12" t="str">
        <f aca="false">IFERROR(__xludf.dummyfunction("""COMPUTED_VALUE"""),"AULA JS-006-")</f>
        <v>AULA JS-006-</v>
      </c>
      <c r="J263" s="12" t="str">
        <f aca="false">IFERROR(__xludf.dummyfunction("""COMPUTED_VALUE"""),"JUSTICIA SOCIAL")</f>
        <v>JUSTICIA SOCIAL</v>
      </c>
      <c r="K263" s="13" t="s">
        <v>93</v>
      </c>
      <c r="L263" s="14" t="n">
        <v>5</v>
      </c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</row>
    <row r="264" customFormat="false" ht="15.75" hidden="false" customHeight="true" outlineLevel="0" collapsed="false">
      <c r="A264" s="18" t="s">
        <v>110</v>
      </c>
      <c r="B264" s="6" t="n">
        <v>29174617</v>
      </c>
      <c r="C264" s="17" t="s">
        <v>17</v>
      </c>
      <c r="D264" s="16" t="s">
        <v>75</v>
      </c>
      <c r="E264" s="12" t="str">
        <f aca="false">IFERROR(__xludf.dummyfunction("""COMPUTED_VALUE"""),"Mannocchi Valentina")</f>
        <v>Mannocchi Valentina</v>
      </c>
      <c r="F264" s="10" t="str">
        <f aca="false">IFERROR(__xludf.dummyfunction("""COMPUTED_VALUE"""),"Martes")</f>
        <v>Martes</v>
      </c>
      <c r="G264" s="11" t="n">
        <f aca="false">IFERROR(__xludf.dummyfunction("""COMPUTED_VALUE"""),0.333333333333333)</f>
        <v>0.333333333333333</v>
      </c>
      <c r="H264" s="11" t="n">
        <f aca="false">IFERROR(__xludf.dummyfunction("""COMPUTED_VALUE"""),0.5)</f>
        <v>0.5</v>
      </c>
      <c r="I264" s="12" t="str">
        <f aca="false">IFERROR(__xludf.dummyfunction("""COMPUTED_VALUE"""),"AULA JS-006-")</f>
        <v>AULA JS-006-</v>
      </c>
      <c r="J264" s="12" t="str">
        <f aca="false">IFERROR(__xludf.dummyfunction("""COMPUTED_VALUE"""),"JUSTICIA SOCIAL")</f>
        <v>JUSTICIA SOCIAL</v>
      </c>
      <c r="K264" s="13" t="s">
        <v>93</v>
      </c>
      <c r="L264" s="14" t="n">
        <v>5</v>
      </c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</row>
    <row r="265" customFormat="false" ht="15.75" hidden="false" customHeight="true" outlineLevel="0" collapsed="false">
      <c r="A265" s="18" t="s">
        <v>110</v>
      </c>
      <c r="B265" s="6" t="n">
        <v>29174617</v>
      </c>
      <c r="C265" s="7" t="s">
        <v>13</v>
      </c>
      <c r="D265" s="16" t="s">
        <v>75</v>
      </c>
      <c r="E265" s="12" t="str">
        <f aca="false">IFERROR(__xludf.dummyfunction("""COMPUTED_VALUE"""),"Spanu Florencia Belén")</f>
        <v>Spanu Florencia Belén</v>
      </c>
      <c r="F265" s="10" t="str">
        <f aca="false">IFERROR(__xludf.dummyfunction("""COMPUTED_VALUE"""),"Jueves")</f>
        <v>Jueves</v>
      </c>
      <c r="G265" s="11" t="n">
        <f aca="false">IFERROR(__xludf.dummyfunction("""COMPUTED_VALUE"""),0.333333333333333)</f>
        <v>0.333333333333333</v>
      </c>
      <c r="H265" s="11" t="n">
        <f aca="false">IFERROR(__xludf.dummyfunction("""COMPUTED_VALUE"""),0.5)</f>
        <v>0.5</v>
      </c>
      <c r="I265" s="12" t="str">
        <f aca="false">IFERROR(__xludf.dummyfunction("""COMPUTED_VALUE"""),"AULA JS-006-")</f>
        <v>AULA JS-006-</v>
      </c>
      <c r="J265" s="12" t="str">
        <f aca="false">IFERROR(__xludf.dummyfunction("""COMPUTED_VALUE"""),"JUSTICIA SOCIAL")</f>
        <v>JUSTICIA SOCIAL</v>
      </c>
      <c r="K265" s="13" t="s">
        <v>93</v>
      </c>
      <c r="L265" s="14" t="n">
        <v>5</v>
      </c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</row>
    <row r="266" customFormat="false" ht="15.75" hidden="false" customHeight="true" outlineLevel="0" collapsed="false">
      <c r="A266" s="18" t="s">
        <v>110</v>
      </c>
      <c r="B266" s="6" t="n">
        <v>29174617</v>
      </c>
      <c r="C266" s="7" t="s">
        <v>16</v>
      </c>
      <c r="D266" s="16" t="s">
        <v>75</v>
      </c>
      <c r="E266" s="12" t="str">
        <f aca="false">IFERROR(__xludf.dummyfunction("""COMPUTED_VALUE"""),"Fariña Silvana Mariel")</f>
        <v>Fariña Silvana Mariel</v>
      </c>
      <c r="F266" s="10" t="str">
        <f aca="false">IFERROR(__xludf.dummyfunction("""COMPUTED_VALUE"""),"Sábado")</f>
        <v>Sábado</v>
      </c>
      <c r="G266" s="11" t="n">
        <f aca="false">IFERROR(__xludf.dummyfunction("""COMPUTED_VALUE"""),0.375)</f>
        <v>0.375</v>
      </c>
      <c r="H266" s="11" t="n">
        <f aca="false">IFERROR(__xludf.dummyfunction("""COMPUTED_VALUE"""),0.541666666666666)</f>
        <v>0.541666666666666</v>
      </c>
      <c r="I266" s="12" t="str">
        <f aca="false">IFERROR(__xludf.dummyfunction("""COMPUTED_VALUE"""),"AULA JS-006-")</f>
        <v>AULA JS-006-</v>
      </c>
      <c r="J266" s="12" t="str">
        <f aca="false">IFERROR(__xludf.dummyfunction("""COMPUTED_VALUE"""),"JUSTICIA SOCIAL")</f>
        <v>JUSTICIA SOCIAL</v>
      </c>
      <c r="K266" s="13" t="s">
        <v>93</v>
      </c>
      <c r="L266" s="14" t="n">
        <v>1</v>
      </c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</row>
    <row r="267" customFormat="false" ht="15.75" hidden="false" customHeight="true" outlineLevel="0" collapsed="false">
      <c r="A267" s="5" t="s">
        <v>111</v>
      </c>
      <c r="B267" s="6" t="n">
        <v>39749801</v>
      </c>
      <c r="C267" s="17" t="s">
        <v>17</v>
      </c>
      <c r="D267" s="16" t="s">
        <v>75</v>
      </c>
      <c r="E267" s="12" t="str">
        <f aca="false">IFERROR(__xludf.dummyfunction("""COMPUTED_VALUE"""),"Mannocchi Valentina")</f>
        <v>Mannocchi Valentina</v>
      </c>
      <c r="F267" s="10" t="str">
        <f aca="false">IFERROR(__xludf.dummyfunction("""COMPUTED_VALUE"""),"Martes")</f>
        <v>Martes</v>
      </c>
      <c r="G267" s="11" t="n">
        <f aca="false">IFERROR(__xludf.dummyfunction("""COMPUTED_VALUE"""),0.333333333333333)</f>
        <v>0.333333333333333</v>
      </c>
      <c r="H267" s="11" t="n">
        <f aca="false">IFERROR(__xludf.dummyfunction("""COMPUTED_VALUE"""),0.5)</f>
        <v>0.5</v>
      </c>
      <c r="I267" s="12" t="str">
        <f aca="false">IFERROR(__xludf.dummyfunction("""COMPUTED_VALUE"""),"AULA JS-006-")</f>
        <v>AULA JS-006-</v>
      </c>
      <c r="J267" s="12" t="str">
        <f aca="false">IFERROR(__xludf.dummyfunction("""COMPUTED_VALUE"""),"JUSTICIA SOCIAL")</f>
        <v>JUSTICIA SOCIAL</v>
      </c>
      <c r="K267" s="13" t="s">
        <v>93</v>
      </c>
      <c r="L267" s="14" t="n">
        <v>1</v>
      </c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</row>
    <row r="268" customFormat="false" ht="15.75" hidden="false" customHeight="true" outlineLevel="0" collapsed="false">
      <c r="A268" s="5" t="s">
        <v>111</v>
      </c>
      <c r="B268" s="6" t="n">
        <v>39749801</v>
      </c>
      <c r="C268" s="7" t="s">
        <v>13</v>
      </c>
      <c r="D268" s="16" t="s">
        <v>75</v>
      </c>
      <c r="E268" s="12" t="str">
        <f aca="false">IFERROR(__xludf.dummyfunction("""COMPUTED_VALUE"""),"Spanu Florencia Belén")</f>
        <v>Spanu Florencia Belén</v>
      </c>
      <c r="F268" s="10" t="str">
        <f aca="false">IFERROR(__xludf.dummyfunction("""COMPUTED_VALUE"""),"Jueves")</f>
        <v>Jueves</v>
      </c>
      <c r="G268" s="11" t="n">
        <f aca="false">IFERROR(__xludf.dummyfunction("""COMPUTED_VALUE"""),0.333333333333333)</f>
        <v>0.333333333333333</v>
      </c>
      <c r="H268" s="11" t="n">
        <f aca="false">IFERROR(__xludf.dummyfunction("""COMPUTED_VALUE"""),0.5)</f>
        <v>0.5</v>
      </c>
      <c r="I268" s="12" t="str">
        <f aca="false">IFERROR(__xludf.dummyfunction("""COMPUTED_VALUE"""),"AULA JS-006-")</f>
        <v>AULA JS-006-</v>
      </c>
      <c r="J268" s="12" t="str">
        <f aca="false">IFERROR(__xludf.dummyfunction("""COMPUTED_VALUE"""),"JUSTICIA SOCIAL")</f>
        <v>JUSTICIA SOCIAL</v>
      </c>
      <c r="K268" s="13" t="s">
        <v>93</v>
      </c>
      <c r="L268" s="14" t="n">
        <v>1</v>
      </c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</row>
    <row r="269" customFormat="false" ht="15.75" hidden="false" customHeight="true" outlineLevel="0" collapsed="false">
      <c r="A269" s="5" t="s">
        <v>111</v>
      </c>
      <c r="B269" s="6" t="n">
        <v>39749801</v>
      </c>
      <c r="C269" s="7" t="s">
        <v>16</v>
      </c>
      <c r="D269" s="16" t="s">
        <v>75</v>
      </c>
      <c r="E269" s="12" t="str">
        <f aca="false">IFERROR(__xludf.dummyfunction("""COMPUTED_VALUE"""),"Fariña Silvana Mariel")</f>
        <v>Fariña Silvana Mariel</v>
      </c>
      <c r="F269" s="10" t="str">
        <f aca="false">IFERROR(__xludf.dummyfunction("""COMPUTED_VALUE"""),"Sábado")</f>
        <v>Sábado</v>
      </c>
      <c r="G269" s="11" t="n">
        <f aca="false">IFERROR(__xludf.dummyfunction("""COMPUTED_VALUE"""),0.375)</f>
        <v>0.375</v>
      </c>
      <c r="H269" s="11" t="n">
        <f aca="false">IFERROR(__xludf.dummyfunction("""COMPUTED_VALUE"""),0.541666666666666)</f>
        <v>0.541666666666666</v>
      </c>
      <c r="I269" s="12" t="str">
        <f aca="false">IFERROR(__xludf.dummyfunction("""COMPUTED_VALUE"""),"AULA JS-006-")</f>
        <v>AULA JS-006-</v>
      </c>
      <c r="J269" s="12" t="str">
        <f aca="false">IFERROR(__xludf.dummyfunction("""COMPUTED_VALUE"""),"JUSTICIA SOCIAL")</f>
        <v>JUSTICIA SOCIAL</v>
      </c>
      <c r="K269" s="13" t="s">
        <v>93</v>
      </c>
      <c r="L269" s="14" t="n">
        <v>3</v>
      </c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</row>
    <row r="270" customFormat="false" ht="15.75" hidden="false" customHeight="true" outlineLevel="0" collapsed="false">
      <c r="A270" s="5" t="s">
        <v>112</v>
      </c>
      <c r="B270" s="6" t="n">
        <v>46351400</v>
      </c>
      <c r="C270" s="17" t="s">
        <v>17</v>
      </c>
      <c r="D270" s="16" t="s">
        <v>75</v>
      </c>
      <c r="E270" s="12" t="str">
        <f aca="false">IFERROR(__xludf.dummyfunction("""COMPUTED_VALUE"""),"Mannocchi Valentina")</f>
        <v>Mannocchi Valentina</v>
      </c>
      <c r="F270" s="10" t="str">
        <f aca="false">IFERROR(__xludf.dummyfunction("""COMPUTED_VALUE"""),"Martes")</f>
        <v>Martes</v>
      </c>
      <c r="G270" s="11" t="n">
        <f aca="false">IFERROR(__xludf.dummyfunction("""COMPUTED_VALUE"""),0.333333333333333)</f>
        <v>0.333333333333333</v>
      </c>
      <c r="H270" s="11" t="n">
        <f aca="false">IFERROR(__xludf.dummyfunction("""COMPUTED_VALUE"""),0.5)</f>
        <v>0.5</v>
      </c>
      <c r="I270" s="12" t="str">
        <f aca="false">IFERROR(__xludf.dummyfunction("""COMPUTED_VALUE"""),"AULA JS-006-")</f>
        <v>AULA JS-006-</v>
      </c>
      <c r="J270" s="12" t="str">
        <f aca="false">IFERROR(__xludf.dummyfunction("""COMPUTED_VALUE"""),"JUSTICIA SOCIAL")</f>
        <v>JUSTICIA SOCIAL</v>
      </c>
      <c r="K270" s="13" t="s">
        <v>93</v>
      </c>
      <c r="L270" s="14" t="n">
        <v>3</v>
      </c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</row>
    <row r="271" customFormat="false" ht="15.75" hidden="false" customHeight="true" outlineLevel="0" collapsed="false">
      <c r="A271" s="5" t="s">
        <v>112</v>
      </c>
      <c r="B271" s="6" t="n">
        <v>46351400</v>
      </c>
      <c r="C271" s="7" t="s">
        <v>13</v>
      </c>
      <c r="D271" s="16" t="s">
        <v>75</v>
      </c>
      <c r="E271" s="12" t="str">
        <f aca="false">IFERROR(__xludf.dummyfunction("""COMPUTED_VALUE"""),"Spanu Florencia Belén")</f>
        <v>Spanu Florencia Belén</v>
      </c>
      <c r="F271" s="10" t="str">
        <f aca="false">IFERROR(__xludf.dummyfunction("""COMPUTED_VALUE"""),"Jueves")</f>
        <v>Jueves</v>
      </c>
      <c r="G271" s="11" t="n">
        <f aca="false">IFERROR(__xludf.dummyfunction("""COMPUTED_VALUE"""),0.333333333333333)</f>
        <v>0.333333333333333</v>
      </c>
      <c r="H271" s="11" t="n">
        <f aca="false">IFERROR(__xludf.dummyfunction("""COMPUTED_VALUE"""),0.5)</f>
        <v>0.5</v>
      </c>
      <c r="I271" s="12" t="str">
        <f aca="false">IFERROR(__xludf.dummyfunction("""COMPUTED_VALUE"""),"AULA JS-006-")</f>
        <v>AULA JS-006-</v>
      </c>
      <c r="J271" s="12" t="str">
        <f aca="false">IFERROR(__xludf.dummyfunction("""COMPUTED_VALUE"""),"JUSTICIA SOCIAL")</f>
        <v>JUSTICIA SOCIAL</v>
      </c>
      <c r="K271" s="13" t="s">
        <v>93</v>
      </c>
      <c r="L271" s="14" t="n">
        <v>3</v>
      </c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</row>
    <row r="272" customFormat="false" ht="15.75" hidden="false" customHeight="true" outlineLevel="0" collapsed="false">
      <c r="A272" s="5" t="s">
        <v>112</v>
      </c>
      <c r="B272" s="6" t="n">
        <v>46351400</v>
      </c>
      <c r="C272" s="7" t="s">
        <v>16</v>
      </c>
      <c r="D272" s="16" t="s">
        <v>75</v>
      </c>
      <c r="E272" s="12" t="str">
        <f aca="false">IFERROR(__xludf.dummyfunction("""COMPUTED_VALUE"""),"Fariña Silvana Mariel")</f>
        <v>Fariña Silvana Mariel</v>
      </c>
      <c r="F272" s="10" t="str">
        <f aca="false">IFERROR(__xludf.dummyfunction("""COMPUTED_VALUE"""),"Sábado")</f>
        <v>Sábado</v>
      </c>
      <c r="G272" s="11" t="n">
        <f aca="false">IFERROR(__xludf.dummyfunction("""COMPUTED_VALUE"""),0.375)</f>
        <v>0.375</v>
      </c>
      <c r="H272" s="11" t="n">
        <f aca="false">IFERROR(__xludf.dummyfunction("""COMPUTED_VALUE"""),0.541666666666666)</f>
        <v>0.541666666666666</v>
      </c>
      <c r="I272" s="12" t="str">
        <f aca="false">IFERROR(__xludf.dummyfunction("""COMPUTED_VALUE"""),"AULA JS-006-")</f>
        <v>AULA JS-006-</v>
      </c>
      <c r="J272" s="12" t="str">
        <f aca="false">IFERROR(__xludf.dummyfunction("""COMPUTED_VALUE"""),"JUSTICIA SOCIAL")</f>
        <v>JUSTICIA SOCIAL</v>
      </c>
      <c r="K272" s="13" t="s">
        <v>93</v>
      </c>
      <c r="L272" s="14" t="n">
        <v>5</v>
      </c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</row>
    <row r="273" customFormat="false" ht="15.75" hidden="false" customHeight="true" outlineLevel="0" collapsed="false">
      <c r="A273" s="5" t="s">
        <v>113</v>
      </c>
      <c r="B273" s="6" t="n">
        <v>42217716</v>
      </c>
      <c r="C273" s="17" t="s">
        <v>17</v>
      </c>
      <c r="D273" s="16" t="s">
        <v>75</v>
      </c>
      <c r="E273" s="12" t="str">
        <f aca="false">IFERROR(__xludf.dummyfunction("""COMPUTED_VALUE"""),"Mannocchi Valentina")</f>
        <v>Mannocchi Valentina</v>
      </c>
      <c r="F273" s="10" t="str">
        <f aca="false">IFERROR(__xludf.dummyfunction("""COMPUTED_VALUE"""),"Martes")</f>
        <v>Martes</v>
      </c>
      <c r="G273" s="11" t="n">
        <f aca="false">IFERROR(__xludf.dummyfunction("""COMPUTED_VALUE"""),0.333333333333333)</f>
        <v>0.333333333333333</v>
      </c>
      <c r="H273" s="11" t="n">
        <f aca="false">IFERROR(__xludf.dummyfunction("""COMPUTED_VALUE"""),0.5)</f>
        <v>0.5</v>
      </c>
      <c r="I273" s="12" t="str">
        <f aca="false">IFERROR(__xludf.dummyfunction("""COMPUTED_VALUE"""),"AULA JS-006-")</f>
        <v>AULA JS-006-</v>
      </c>
      <c r="J273" s="12" t="str">
        <f aca="false">IFERROR(__xludf.dummyfunction("""COMPUTED_VALUE"""),"JUSTICIA SOCIAL")</f>
        <v>JUSTICIA SOCIAL</v>
      </c>
      <c r="K273" s="13" t="s">
        <v>93</v>
      </c>
      <c r="L273" s="14" t="n">
        <v>5</v>
      </c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</row>
    <row r="274" customFormat="false" ht="15.75" hidden="false" customHeight="true" outlineLevel="0" collapsed="false">
      <c r="A274" s="5" t="s">
        <v>113</v>
      </c>
      <c r="B274" s="6" t="n">
        <v>42217716</v>
      </c>
      <c r="C274" s="7" t="s">
        <v>13</v>
      </c>
      <c r="D274" s="16" t="s">
        <v>75</v>
      </c>
      <c r="E274" s="12" t="str">
        <f aca="false">IFERROR(__xludf.dummyfunction("""COMPUTED_VALUE"""),"Spanu Florencia Belén")</f>
        <v>Spanu Florencia Belén</v>
      </c>
      <c r="F274" s="10" t="str">
        <f aca="false">IFERROR(__xludf.dummyfunction("""COMPUTED_VALUE"""),"Jueves")</f>
        <v>Jueves</v>
      </c>
      <c r="G274" s="11" t="n">
        <f aca="false">IFERROR(__xludf.dummyfunction("""COMPUTED_VALUE"""),0.333333333333333)</f>
        <v>0.333333333333333</v>
      </c>
      <c r="H274" s="11" t="n">
        <f aca="false">IFERROR(__xludf.dummyfunction("""COMPUTED_VALUE"""),0.5)</f>
        <v>0.5</v>
      </c>
      <c r="I274" s="12" t="str">
        <f aca="false">IFERROR(__xludf.dummyfunction("""COMPUTED_VALUE"""),"AULA JS-006-")</f>
        <v>AULA JS-006-</v>
      </c>
      <c r="J274" s="12" t="str">
        <f aca="false">IFERROR(__xludf.dummyfunction("""COMPUTED_VALUE"""),"JUSTICIA SOCIAL")</f>
        <v>JUSTICIA SOCIAL</v>
      </c>
      <c r="K274" s="13" t="s">
        <v>93</v>
      </c>
      <c r="L274" s="14" t="n">
        <v>5</v>
      </c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</row>
    <row r="275" customFormat="false" ht="15.75" hidden="false" customHeight="true" outlineLevel="0" collapsed="false">
      <c r="A275" s="5" t="s">
        <v>113</v>
      </c>
      <c r="B275" s="6" t="n">
        <v>42217716</v>
      </c>
      <c r="C275" s="7" t="s">
        <v>16</v>
      </c>
      <c r="D275" s="16" t="s">
        <v>75</v>
      </c>
      <c r="E275" s="12" t="str">
        <f aca="false">IFERROR(__xludf.dummyfunction("""COMPUTED_VALUE"""),"Fariña Silvana Mariel")</f>
        <v>Fariña Silvana Mariel</v>
      </c>
      <c r="F275" s="10" t="str">
        <f aca="false">IFERROR(__xludf.dummyfunction("""COMPUTED_VALUE"""),"Sábado")</f>
        <v>Sábado</v>
      </c>
      <c r="G275" s="11" t="n">
        <f aca="false">IFERROR(__xludf.dummyfunction("""COMPUTED_VALUE"""),0.375)</f>
        <v>0.375</v>
      </c>
      <c r="H275" s="11" t="n">
        <f aca="false">IFERROR(__xludf.dummyfunction("""COMPUTED_VALUE"""),0.541666666666666)</f>
        <v>0.541666666666666</v>
      </c>
      <c r="I275" s="12" t="str">
        <f aca="false">IFERROR(__xludf.dummyfunction("""COMPUTED_VALUE"""),"AULA JS-006-")</f>
        <v>AULA JS-006-</v>
      </c>
      <c r="J275" s="12" t="str">
        <f aca="false">IFERROR(__xludf.dummyfunction("""COMPUTED_VALUE"""),"JUSTICIA SOCIAL")</f>
        <v>JUSTICIA SOCIAL</v>
      </c>
      <c r="K275" s="13" t="s">
        <v>93</v>
      </c>
      <c r="L275" s="14" t="n">
        <v>5</v>
      </c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</row>
    <row r="276" customFormat="false" ht="15.75" hidden="false" customHeight="true" outlineLevel="0" collapsed="false">
      <c r="A276" s="5" t="s">
        <v>114</v>
      </c>
      <c r="B276" s="6" t="n">
        <v>31293115</v>
      </c>
      <c r="C276" s="17" t="s">
        <v>17</v>
      </c>
      <c r="D276" s="16" t="s">
        <v>75</v>
      </c>
      <c r="E276" s="12" t="str">
        <f aca="false">IFERROR(__xludf.dummyfunction("""COMPUTED_VALUE"""),"Mannocchi Valentina")</f>
        <v>Mannocchi Valentina</v>
      </c>
      <c r="F276" s="10" t="str">
        <f aca="false">IFERROR(__xludf.dummyfunction("""COMPUTED_VALUE"""),"Martes")</f>
        <v>Martes</v>
      </c>
      <c r="G276" s="11" t="n">
        <f aca="false">IFERROR(__xludf.dummyfunction("""COMPUTED_VALUE"""),0.333333333333333)</f>
        <v>0.333333333333333</v>
      </c>
      <c r="H276" s="11" t="n">
        <f aca="false">IFERROR(__xludf.dummyfunction("""COMPUTED_VALUE"""),0.5)</f>
        <v>0.5</v>
      </c>
      <c r="I276" s="12" t="str">
        <f aca="false">IFERROR(__xludf.dummyfunction("""COMPUTED_VALUE"""),"AULA JS-006-")</f>
        <v>AULA JS-006-</v>
      </c>
      <c r="J276" s="12" t="str">
        <f aca="false">IFERROR(__xludf.dummyfunction("""COMPUTED_VALUE"""),"JUSTICIA SOCIAL")</f>
        <v>JUSTICIA SOCIAL</v>
      </c>
      <c r="K276" s="13" t="s">
        <v>93</v>
      </c>
      <c r="L276" s="14" t="n">
        <v>5</v>
      </c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</row>
    <row r="277" customFormat="false" ht="15.75" hidden="false" customHeight="true" outlineLevel="0" collapsed="false">
      <c r="A277" s="5" t="s">
        <v>114</v>
      </c>
      <c r="B277" s="6" t="n">
        <v>31293115</v>
      </c>
      <c r="C277" s="7" t="s">
        <v>13</v>
      </c>
      <c r="D277" s="16" t="s">
        <v>75</v>
      </c>
      <c r="E277" s="12" t="str">
        <f aca="false">IFERROR(__xludf.dummyfunction("""COMPUTED_VALUE"""),"Spanu Florencia Belén")</f>
        <v>Spanu Florencia Belén</v>
      </c>
      <c r="F277" s="10" t="str">
        <f aca="false">IFERROR(__xludf.dummyfunction("""COMPUTED_VALUE"""),"Jueves")</f>
        <v>Jueves</v>
      </c>
      <c r="G277" s="11" t="n">
        <f aca="false">IFERROR(__xludf.dummyfunction("""COMPUTED_VALUE"""),0.333333333333333)</f>
        <v>0.333333333333333</v>
      </c>
      <c r="H277" s="11" t="n">
        <f aca="false">IFERROR(__xludf.dummyfunction("""COMPUTED_VALUE"""),0.5)</f>
        <v>0.5</v>
      </c>
      <c r="I277" s="12" t="str">
        <f aca="false">IFERROR(__xludf.dummyfunction("""COMPUTED_VALUE"""),"AULA JS-006-")</f>
        <v>AULA JS-006-</v>
      </c>
      <c r="J277" s="12" t="str">
        <f aca="false">IFERROR(__xludf.dummyfunction("""COMPUTED_VALUE"""),"JUSTICIA SOCIAL")</f>
        <v>JUSTICIA SOCIAL</v>
      </c>
      <c r="K277" s="13" t="s">
        <v>93</v>
      </c>
      <c r="L277" s="14" t="n">
        <v>5</v>
      </c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</row>
    <row r="278" customFormat="false" ht="15.75" hidden="false" customHeight="true" outlineLevel="0" collapsed="false">
      <c r="A278" s="5" t="s">
        <v>114</v>
      </c>
      <c r="B278" s="6" t="n">
        <v>31293115</v>
      </c>
      <c r="C278" s="7" t="s">
        <v>16</v>
      </c>
      <c r="D278" s="16" t="s">
        <v>75</v>
      </c>
      <c r="E278" s="12" t="str">
        <f aca="false">IFERROR(__xludf.dummyfunction("""COMPUTED_VALUE"""),"Fariña Silvana Mariel")</f>
        <v>Fariña Silvana Mariel</v>
      </c>
      <c r="F278" s="10" t="str">
        <f aca="false">IFERROR(__xludf.dummyfunction("""COMPUTED_VALUE"""),"Sábado")</f>
        <v>Sábado</v>
      </c>
      <c r="G278" s="11" t="n">
        <f aca="false">IFERROR(__xludf.dummyfunction("""COMPUTED_VALUE"""),0.375)</f>
        <v>0.375</v>
      </c>
      <c r="H278" s="11" t="n">
        <f aca="false">IFERROR(__xludf.dummyfunction("""COMPUTED_VALUE"""),0.541666666666666)</f>
        <v>0.541666666666666</v>
      </c>
      <c r="I278" s="12" t="str">
        <f aca="false">IFERROR(__xludf.dummyfunction("""COMPUTED_VALUE"""),"AULA JS-006-")</f>
        <v>AULA JS-006-</v>
      </c>
      <c r="J278" s="12" t="str">
        <f aca="false">IFERROR(__xludf.dummyfunction("""COMPUTED_VALUE"""),"JUSTICIA SOCIAL")</f>
        <v>JUSTICIA SOCIAL</v>
      </c>
      <c r="K278" s="13" t="s">
        <v>93</v>
      </c>
      <c r="L278" s="14" t="n">
        <v>2</v>
      </c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</row>
    <row r="279" customFormat="false" ht="15.75" hidden="false" customHeight="true" outlineLevel="0" collapsed="false">
      <c r="A279" s="5" t="s">
        <v>115</v>
      </c>
      <c r="B279" s="6" t="n">
        <v>29504852</v>
      </c>
      <c r="C279" s="17" t="s">
        <v>17</v>
      </c>
      <c r="D279" s="16" t="s">
        <v>75</v>
      </c>
      <c r="E279" s="12" t="str">
        <f aca="false">IFERROR(__xludf.dummyfunction("""COMPUTED_VALUE"""),"Mannocchi Valentina")</f>
        <v>Mannocchi Valentina</v>
      </c>
      <c r="F279" s="10" t="str">
        <f aca="false">IFERROR(__xludf.dummyfunction("""COMPUTED_VALUE"""),"Martes")</f>
        <v>Martes</v>
      </c>
      <c r="G279" s="11" t="n">
        <f aca="false">IFERROR(__xludf.dummyfunction("""COMPUTED_VALUE"""),0.333333333333333)</f>
        <v>0.333333333333333</v>
      </c>
      <c r="H279" s="11" t="n">
        <f aca="false">IFERROR(__xludf.dummyfunction("""COMPUTED_VALUE"""),0.5)</f>
        <v>0.5</v>
      </c>
      <c r="I279" s="12" t="str">
        <f aca="false">IFERROR(__xludf.dummyfunction("""COMPUTED_VALUE"""),"AULA JS-006-")</f>
        <v>AULA JS-006-</v>
      </c>
      <c r="J279" s="12" t="str">
        <f aca="false">IFERROR(__xludf.dummyfunction("""COMPUTED_VALUE"""),"JUSTICIA SOCIAL")</f>
        <v>JUSTICIA SOCIAL</v>
      </c>
      <c r="K279" s="13" t="s">
        <v>93</v>
      </c>
      <c r="L279" s="14" t="n">
        <v>2</v>
      </c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</row>
    <row r="280" customFormat="false" ht="15.75" hidden="false" customHeight="true" outlineLevel="0" collapsed="false">
      <c r="A280" s="5" t="s">
        <v>115</v>
      </c>
      <c r="B280" s="6" t="n">
        <v>29504852</v>
      </c>
      <c r="C280" s="7" t="s">
        <v>13</v>
      </c>
      <c r="D280" s="16" t="s">
        <v>75</v>
      </c>
      <c r="E280" s="12" t="str">
        <f aca="false">IFERROR(__xludf.dummyfunction("""COMPUTED_VALUE"""),"Spanu Florencia Belén")</f>
        <v>Spanu Florencia Belén</v>
      </c>
      <c r="F280" s="10" t="str">
        <f aca="false">IFERROR(__xludf.dummyfunction("""COMPUTED_VALUE"""),"Jueves")</f>
        <v>Jueves</v>
      </c>
      <c r="G280" s="11" t="n">
        <f aca="false">IFERROR(__xludf.dummyfunction("""COMPUTED_VALUE"""),0.333333333333333)</f>
        <v>0.333333333333333</v>
      </c>
      <c r="H280" s="11" t="n">
        <f aca="false">IFERROR(__xludf.dummyfunction("""COMPUTED_VALUE"""),0.5)</f>
        <v>0.5</v>
      </c>
      <c r="I280" s="12" t="str">
        <f aca="false">IFERROR(__xludf.dummyfunction("""COMPUTED_VALUE"""),"AULA JS-006-")</f>
        <v>AULA JS-006-</v>
      </c>
      <c r="J280" s="12" t="str">
        <f aca="false">IFERROR(__xludf.dummyfunction("""COMPUTED_VALUE"""),"JUSTICIA SOCIAL")</f>
        <v>JUSTICIA SOCIAL</v>
      </c>
      <c r="K280" s="13" t="s">
        <v>93</v>
      </c>
      <c r="L280" s="14" t="n">
        <v>2</v>
      </c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</row>
    <row r="281" customFormat="false" ht="15.75" hidden="false" customHeight="true" outlineLevel="0" collapsed="false">
      <c r="A281" s="5" t="s">
        <v>115</v>
      </c>
      <c r="B281" s="6" t="n">
        <v>29504852</v>
      </c>
      <c r="C281" s="7" t="s">
        <v>16</v>
      </c>
      <c r="D281" s="16" t="s">
        <v>75</v>
      </c>
      <c r="E281" s="12" t="str">
        <f aca="false">IFERROR(__xludf.dummyfunction("""COMPUTED_VALUE"""),"Fariña Silvana Mariel")</f>
        <v>Fariña Silvana Mariel</v>
      </c>
      <c r="F281" s="10" t="str">
        <f aca="false">IFERROR(__xludf.dummyfunction("""COMPUTED_VALUE"""),"Sábado")</f>
        <v>Sábado</v>
      </c>
      <c r="G281" s="11" t="n">
        <f aca="false">IFERROR(__xludf.dummyfunction("""COMPUTED_VALUE"""),0.375)</f>
        <v>0.375</v>
      </c>
      <c r="H281" s="11" t="n">
        <f aca="false">IFERROR(__xludf.dummyfunction("""COMPUTED_VALUE"""),0.541666666666666)</f>
        <v>0.541666666666666</v>
      </c>
      <c r="I281" s="12" t="str">
        <f aca="false">IFERROR(__xludf.dummyfunction("""COMPUTED_VALUE"""),"AULA JS-006-")</f>
        <v>AULA JS-006-</v>
      </c>
      <c r="J281" s="12" t="str">
        <f aca="false">IFERROR(__xludf.dummyfunction("""COMPUTED_VALUE"""),"JUSTICIA SOCIAL")</f>
        <v>JUSTICIA SOCIAL</v>
      </c>
      <c r="K281" s="13" t="s">
        <v>93</v>
      </c>
      <c r="L281" s="14" t="n">
        <v>5</v>
      </c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</row>
    <row r="282" customFormat="false" ht="15.75" hidden="false" customHeight="true" outlineLevel="0" collapsed="false">
      <c r="A282" s="5" t="s">
        <v>116</v>
      </c>
      <c r="B282" s="6" t="n">
        <v>38458179</v>
      </c>
      <c r="C282" s="17" t="s">
        <v>17</v>
      </c>
      <c r="D282" s="16" t="s">
        <v>75</v>
      </c>
      <c r="E282" s="12" t="str">
        <f aca="false">IFERROR(__xludf.dummyfunction("""COMPUTED_VALUE"""),"Mannocchi Valentina")</f>
        <v>Mannocchi Valentina</v>
      </c>
      <c r="F282" s="10" t="str">
        <f aca="false">IFERROR(__xludf.dummyfunction("""COMPUTED_VALUE"""),"Martes")</f>
        <v>Martes</v>
      </c>
      <c r="G282" s="11" t="n">
        <f aca="false">IFERROR(__xludf.dummyfunction("""COMPUTED_VALUE"""),0.333333333333333)</f>
        <v>0.333333333333333</v>
      </c>
      <c r="H282" s="11" t="n">
        <f aca="false">IFERROR(__xludf.dummyfunction("""COMPUTED_VALUE"""),0.5)</f>
        <v>0.5</v>
      </c>
      <c r="I282" s="12" t="str">
        <f aca="false">IFERROR(__xludf.dummyfunction("""COMPUTED_VALUE"""),"AULA JS-006-")</f>
        <v>AULA JS-006-</v>
      </c>
      <c r="J282" s="12" t="str">
        <f aca="false">IFERROR(__xludf.dummyfunction("""COMPUTED_VALUE"""),"JUSTICIA SOCIAL")</f>
        <v>JUSTICIA SOCIAL</v>
      </c>
      <c r="K282" s="13" t="s">
        <v>93</v>
      </c>
      <c r="L282" s="14" t="n">
        <v>5</v>
      </c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</row>
    <row r="283" customFormat="false" ht="15.75" hidden="false" customHeight="true" outlineLevel="0" collapsed="false">
      <c r="A283" s="5" t="s">
        <v>116</v>
      </c>
      <c r="B283" s="6" t="n">
        <v>38458179</v>
      </c>
      <c r="C283" s="7" t="s">
        <v>13</v>
      </c>
      <c r="D283" s="16" t="s">
        <v>75</v>
      </c>
      <c r="E283" s="12" t="str">
        <f aca="false">IFERROR(__xludf.dummyfunction("""COMPUTED_VALUE"""),"Spanu Florencia Belén")</f>
        <v>Spanu Florencia Belén</v>
      </c>
      <c r="F283" s="10" t="str">
        <f aca="false">IFERROR(__xludf.dummyfunction("""COMPUTED_VALUE"""),"Jueves")</f>
        <v>Jueves</v>
      </c>
      <c r="G283" s="11" t="n">
        <f aca="false">IFERROR(__xludf.dummyfunction("""COMPUTED_VALUE"""),0.333333333333333)</f>
        <v>0.333333333333333</v>
      </c>
      <c r="H283" s="11" t="n">
        <f aca="false">IFERROR(__xludf.dummyfunction("""COMPUTED_VALUE"""),0.5)</f>
        <v>0.5</v>
      </c>
      <c r="I283" s="12" t="str">
        <f aca="false">IFERROR(__xludf.dummyfunction("""COMPUTED_VALUE"""),"AULA JS-006-")</f>
        <v>AULA JS-006-</v>
      </c>
      <c r="J283" s="12" t="str">
        <f aca="false">IFERROR(__xludf.dummyfunction("""COMPUTED_VALUE"""),"JUSTICIA SOCIAL")</f>
        <v>JUSTICIA SOCIAL</v>
      </c>
      <c r="K283" s="13" t="s">
        <v>93</v>
      </c>
      <c r="L283" s="14" t="n">
        <v>5</v>
      </c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</row>
    <row r="284" customFormat="false" ht="15.75" hidden="false" customHeight="true" outlineLevel="0" collapsed="false">
      <c r="A284" s="5" t="s">
        <v>116</v>
      </c>
      <c r="B284" s="6" t="n">
        <v>38458179</v>
      </c>
      <c r="C284" s="7" t="s">
        <v>16</v>
      </c>
      <c r="D284" s="16" t="s">
        <v>75</v>
      </c>
      <c r="E284" s="12" t="str">
        <f aca="false">IFERROR(__xludf.dummyfunction("""COMPUTED_VALUE"""),"Fariña Silvana Mariel")</f>
        <v>Fariña Silvana Mariel</v>
      </c>
      <c r="F284" s="10" t="str">
        <f aca="false">IFERROR(__xludf.dummyfunction("""COMPUTED_VALUE"""),"Sábado")</f>
        <v>Sábado</v>
      </c>
      <c r="G284" s="11" t="n">
        <f aca="false">IFERROR(__xludf.dummyfunction("""COMPUTED_VALUE"""),0.375)</f>
        <v>0.375</v>
      </c>
      <c r="H284" s="11" t="n">
        <f aca="false">IFERROR(__xludf.dummyfunction("""COMPUTED_VALUE"""),0.541666666666666)</f>
        <v>0.541666666666666</v>
      </c>
      <c r="I284" s="12" t="str">
        <f aca="false">IFERROR(__xludf.dummyfunction("""COMPUTED_VALUE"""),"AULA JS-006-")</f>
        <v>AULA JS-006-</v>
      </c>
      <c r="J284" s="12" t="str">
        <f aca="false">IFERROR(__xludf.dummyfunction("""COMPUTED_VALUE"""),"JUSTICIA SOCIAL")</f>
        <v>JUSTICIA SOCIAL</v>
      </c>
      <c r="K284" s="13" t="s">
        <v>93</v>
      </c>
      <c r="L284" s="14" t="n">
        <v>5</v>
      </c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</row>
    <row r="285" customFormat="false" ht="15.75" hidden="false" customHeight="true" outlineLevel="0" collapsed="false">
      <c r="A285" s="5" t="s">
        <v>117</v>
      </c>
      <c r="B285" s="6" t="n">
        <v>26251580</v>
      </c>
      <c r="C285" s="17" t="s">
        <v>17</v>
      </c>
      <c r="D285" s="16" t="s">
        <v>75</v>
      </c>
      <c r="E285" s="12" t="str">
        <f aca="false">IFERROR(__xludf.dummyfunction("""COMPUTED_VALUE"""),"Mannocchi Valentina")</f>
        <v>Mannocchi Valentina</v>
      </c>
      <c r="F285" s="10" t="str">
        <f aca="false">IFERROR(__xludf.dummyfunction("""COMPUTED_VALUE"""),"Martes")</f>
        <v>Martes</v>
      </c>
      <c r="G285" s="11" t="n">
        <f aca="false">IFERROR(__xludf.dummyfunction("""COMPUTED_VALUE"""),0.333333333333333)</f>
        <v>0.333333333333333</v>
      </c>
      <c r="H285" s="11" t="n">
        <f aca="false">IFERROR(__xludf.dummyfunction("""COMPUTED_VALUE"""),0.5)</f>
        <v>0.5</v>
      </c>
      <c r="I285" s="12" t="str">
        <f aca="false">IFERROR(__xludf.dummyfunction("""COMPUTED_VALUE"""),"AULA JS-006-")</f>
        <v>AULA JS-006-</v>
      </c>
      <c r="J285" s="12" t="str">
        <f aca="false">IFERROR(__xludf.dummyfunction("""COMPUTED_VALUE"""),"JUSTICIA SOCIAL")</f>
        <v>JUSTICIA SOCIAL</v>
      </c>
      <c r="K285" s="13" t="s">
        <v>93</v>
      </c>
      <c r="L285" s="14" t="n">
        <v>5</v>
      </c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</row>
    <row r="286" customFormat="false" ht="15.75" hidden="false" customHeight="true" outlineLevel="0" collapsed="false">
      <c r="A286" s="19"/>
      <c r="B286" s="20"/>
      <c r="C286" s="21"/>
      <c r="D286" s="21"/>
      <c r="E286" s="14"/>
      <c r="F286" s="22"/>
      <c r="G286" s="23"/>
      <c r="H286" s="2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</row>
    <row r="287" customFormat="false" ht="15.75" hidden="false" customHeight="true" outlineLevel="0" collapsed="false">
      <c r="A287" s="19"/>
      <c r="B287" s="20"/>
      <c r="C287" s="21"/>
      <c r="D287" s="21"/>
      <c r="E287" s="14"/>
      <c r="F287" s="22"/>
      <c r="G287" s="23"/>
      <c r="H287" s="2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</row>
    <row r="288" customFormat="false" ht="15.75" hidden="false" customHeight="true" outlineLevel="0" collapsed="false">
      <c r="A288" s="19"/>
      <c r="B288" s="20"/>
      <c r="C288" s="21"/>
      <c r="D288" s="21"/>
      <c r="E288" s="14"/>
      <c r="F288" s="22"/>
      <c r="G288" s="23"/>
      <c r="H288" s="2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</row>
    <row r="289" customFormat="false" ht="15.75" hidden="false" customHeight="true" outlineLevel="0" collapsed="false">
      <c r="A289" s="19"/>
      <c r="B289" s="20"/>
      <c r="C289" s="21"/>
      <c r="D289" s="21"/>
      <c r="E289" s="14"/>
      <c r="F289" s="22"/>
      <c r="G289" s="23"/>
      <c r="H289" s="2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</row>
    <row r="290" customFormat="false" ht="15.75" hidden="false" customHeight="true" outlineLevel="0" collapsed="false">
      <c r="A290" s="19"/>
      <c r="B290" s="20"/>
      <c r="C290" s="21"/>
      <c r="D290" s="21"/>
      <c r="E290" s="14"/>
      <c r="F290" s="22"/>
      <c r="G290" s="23"/>
      <c r="H290" s="2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</row>
    <row r="291" customFormat="false" ht="15.75" hidden="false" customHeight="true" outlineLevel="0" collapsed="false">
      <c r="A291" s="19"/>
      <c r="B291" s="20"/>
      <c r="C291" s="21"/>
      <c r="D291" s="21"/>
      <c r="E291" s="14"/>
      <c r="F291" s="22"/>
      <c r="G291" s="23"/>
      <c r="H291" s="2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</row>
    <row r="292" customFormat="false" ht="15.75" hidden="false" customHeight="true" outlineLevel="0" collapsed="false">
      <c r="A292" s="19"/>
      <c r="B292" s="20"/>
      <c r="C292" s="21"/>
      <c r="D292" s="21"/>
      <c r="E292" s="14"/>
      <c r="F292" s="22"/>
      <c r="G292" s="23"/>
      <c r="H292" s="2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</row>
    <row r="293" customFormat="false" ht="15.75" hidden="false" customHeight="true" outlineLevel="0" collapsed="false">
      <c r="A293" s="19"/>
      <c r="B293" s="20"/>
      <c r="C293" s="21"/>
      <c r="D293" s="21"/>
      <c r="E293" s="14"/>
      <c r="F293" s="22"/>
      <c r="G293" s="23"/>
      <c r="H293" s="2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</row>
    <row r="294" customFormat="false" ht="15.75" hidden="false" customHeight="true" outlineLevel="0" collapsed="false">
      <c r="A294" s="19"/>
      <c r="B294" s="20"/>
      <c r="C294" s="21"/>
      <c r="D294" s="21"/>
      <c r="E294" s="14"/>
      <c r="F294" s="22"/>
      <c r="G294" s="23"/>
      <c r="H294" s="2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</row>
    <row r="295" customFormat="false" ht="15.75" hidden="false" customHeight="true" outlineLevel="0" collapsed="false">
      <c r="A295" s="19"/>
      <c r="B295" s="20"/>
      <c r="C295" s="21"/>
      <c r="D295" s="21"/>
      <c r="E295" s="14"/>
      <c r="F295" s="22"/>
      <c r="G295" s="23"/>
      <c r="H295" s="2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</row>
    <row r="296" customFormat="false" ht="15.75" hidden="false" customHeight="true" outlineLevel="0" collapsed="false">
      <c r="A296" s="19"/>
      <c r="B296" s="20"/>
      <c r="C296" s="21"/>
      <c r="D296" s="21"/>
      <c r="E296" s="14"/>
      <c r="F296" s="22"/>
      <c r="G296" s="23"/>
      <c r="H296" s="2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</row>
    <row r="297" customFormat="false" ht="15.75" hidden="false" customHeight="true" outlineLevel="0" collapsed="false">
      <c r="A297" s="19"/>
      <c r="B297" s="20"/>
      <c r="C297" s="21"/>
      <c r="D297" s="21"/>
      <c r="E297" s="14"/>
      <c r="F297" s="22"/>
      <c r="G297" s="23"/>
      <c r="H297" s="2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</row>
    <row r="298" customFormat="false" ht="15.75" hidden="false" customHeight="true" outlineLevel="0" collapsed="false">
      <c r="A298" s="19"/>
      <c r="B298" s="20"/>
      <c r="C298" s="21"/>
      <c r="D298" s="21"/>
      <c r="E298" s="14"/>
      <c r="F298" s="22"/>
      <c r="G298" s="23"/>
      <c r="H298" s="2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</row>
    <row r="299" customFormat="false" ht="15.75" hidden="false" customHeight="true" outlineLevel="0" collapsed="false">
      <c r="A299" s="19"/>
      <c r="B299" s="20"/>
      <c r="C299" s="21"/>
      <c r="D299" s="21"/>
      <c r="E299" s="14"/>
      <c r="F299" s="22"/>
      <c r="G299" s="23"/>
      <c r="H299" s="2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</row>
    <row r="300" customFormat="false" ht="15.75" hidden="false" customHeight="true" outlineLevel="0" collapsed="false">
      <c r="A300" s="19"/>
      <c r="B300" s="20"/>
      <c r="C300" s="21"/>
      <c r="D300" s="21"/>
      <c r="E300" s="14"/>
      <c r="F300" s="22"/>
      <c r="G300" s="23"/>
      <c r="H300" s="2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</row>
    <row r="301" customFormat="false" ht="15.75" hidden="false" customHeight="true" outlineLevel="0" collapsed="false">
      <c r="A301" s="19"/>
      <c r="B301" s="20"/>
      <c r="C301" s="21"/>
      <c r="D301" s="21"/>
      <c r="E301" s="14"/>
      <c r="F301" s="22"/>
      <c r="G301" s="23"/>
      <c r="H301" s="2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</row>
    <row r="302" customFormat="false" ht="15.75" hidden="false" customHeight="true" outlineLevel="0" collapsed="false">
      <c r="A302" s="19"/>
      <c r="B302" s="20"/>
      <c r="C302" s="21"/>
      <c r="D302" s="21"/>
      <c r="E302" s="14"/>
      <c r="F302" s="22"/>
      <c r="G302" s="23"/>
      <c r="H302" s="2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</row>
    <row r="303" customFormat="false" ht="15.75" hidden="false" customHeight="true" outlineLevel="0" collapsed="false">
      <c r="A303" s="19"/>
      <c r="B303" s="20"/>
      <c r="C303" s="21"/>
      <c r="D303" s="21"/>
      <c r="E303" s="14"/>
      <c r="F303" s="22"/>
      <c r="G303" s="23"/>
      <c r="H303" s="2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</row>
    <row r="304" customFormat="false" ht="15.75" hidden="false" customHeight="true" outlineLevel="0" collapsed="false">
      <c r="A304" s="19"/>
      <c r="B304" s="20"/>
      <c r="C304" s="21"/>
      <c r="D304" s="21"/>
      <c r="E304" s="14"/>
      <c r="F304" s="22"/>
      <c r="G304" s="23"/>
      <c r="H304" s="2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</row>
    <row r="305" customFormat="false" ht="15.75" hidden="false" customHeight="true" outlineLevel="0" collapsed="false">
      <c r="A305" s="19"/>
      <c r="B305" s="20"/>
      <c r="C305" s="21"/>
      <c r="D305" s="21"/>
      <c r="E305" s="14"/>
      <c r="F305" s="22"/>
      <c r="G305" s="23"/>
      <c r="H305" s="2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</row>
    <row r="306" customFormat="false" ht="15.75" hidden="false" customHeight="true" outlineLevel="0" collapsed="false">
      <c r="A306" s="19"/>
      <c r="B306" s="20"/>
      <c r="C306" s="21"/>
      <c r="D306" s="21"/>
      <c r="E306" s="14"/>
      <c r="F306" s="22"/>
      <c r="G306" s="23"/>
      <c r="H306" s="2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</row>
    <row r="307" customFormat="false" ht="15.75" hidden="false" customHeight="true" outlineLevel="0" collapsed="false">
      <c r="A307" s="19"/>
      <c r="B307" s="20"/>
      <c r="C307" s="21"/>
      <c r="D307" s="21"/>
      <c r="E307" s="14"/>
      <c r="F307" s="22"/>
      <c r="G307" s="23"/>
      <c r="H307" s="2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</row>
    <row r="308" customFormat="false" ht="15.75" hidden="false" customHeight="true" outlineLevel="0" collapsed="false">
      <c r="A308" s="19"/>
      <c r="B308" s="20"/>
      <c r="C308" s="21"/>
      <c r="D308" s="21"/>
      <c r="E308" s="14"/>
      <c r="F308" s="22"/>
      <c r="G308" s="23"/>
      <c r="H308" s="2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</row>
    <row r="309" customFormat="false" ht="15.75" hidden="false" customHeight="true" outlineLevel="0" collapsed="false">
      <c r="A309" s="19"/>
      <c r="B309" s="20"/>
      <c r="C309" s="21"/>
      <c r="D309" s="21"/>
      <c r="E309" s="14"/>
      <c r="F309" s="22"/>
      <c r="G309" s="23"/>
      <c r="H309" s="2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</row>
    <row r="310" customFormat="false" ht="15.75" hidden="false" customHeight="true" outlineLevel="0" collapsed="false">
      <c r="A310" s="19"/>
      <c r="B310" s="20"/>
      <c r="C310" s="21"/>
      <c r="D310" s="21"/>
      <c r="E310" s="14"/>
      <c r="F310" s="22"/>
      <c r="G310" s="23"/>
      <c r="H310" s="2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</row>
    <row r="311" customFormat="false" ht="15.75" hidden="false" customHeight="true" outlineLevel="0" collapsed="false">
      <c r="A311" s="19"/>
      <c r="B311" s="20"/>
      <c r="C311" s="21"/>
      <c r="D311" s="21"/>
      <c r="E311" s="14"/>
      <c r="F311" s="22"/>
      <c r="G311" s="23"/>
      <c r="H311" s="2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</row>
    <row r="312" customFormat="false" ht="15.75" hidden="false" customHeight="true" outlineLevel="0" collapsed="false">
      <c r="A312" s="19"/>
      <c r="B312" s="20"/>
      <c r="C312" s="21"/>
      <c r="D312" s="21"/>
      <c r="E312" s="14"/>
      <c r="F312" s="22"/>
      <c r="G312" s="23"/>
      <c r="H312" s="2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</row>
    <row r="313" customFormat="false" ht="15.75" hidden="false" customHeight="true" outlineLevel="0" collapsed="false">
      <c r="A313" s="19"/>
      <c r="B313" s="20"/>
      <c r="C313" s="21"/>
      <c r="D313" s="21"/>
      <c r="E313" s="14"/>
      <c r="F313" s="22"/>
      <c r="G313" s="23"/>
      <c r="H313" s="2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</row>
    <row r="314" customFormat="false" ht="15.75" hidden="false" customHeight="true" outlineLevel="0" collapsed="false">
      <c r="A314" s="19"/>
      <c r="B314" s="20"/>
      <c r="C314" s="21"/>
      <c r="D314" s="21"/>
      <c r="E314" s="14"/>
      <c r="F314" s="22"/>
      <c r="G314" s="23"/>
      <c r="H314" s="2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</row>
    <row r="315" customFormat="false" ht="15.75" hidden="false" customHeight="true" outlineLevel="0" collapsed="false">
      <c r="A315" s="19"/>
      <c r="B315" s="20"/>
      <c r="C315" s="21"/>
      <c r="D315" s="21"/>
      <c r="E315" s="14"/>
      <c r="F315" s="22"/>
      <c r="G315" s="23"/>
      <c r="H315" s="2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</row>
    <row r="316" customFormat="false" ht="15.75" hidden="false" customHeight="true" outlineLevel="0" collapsed="false">
      <c r="A316" s="19"/>
      <c r="B316" s="20"/>
      <c r="C316" s="21"/>
      <c r="D316" s="21"/>
      <c r="E316" s="14"/>
      <c r="F316" s="22"/>
      <c r="G316" s="23"/>
      <c r="H316" s="2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</row>
    <row r="317" customFormat="false" ht="15.75" hidden="false" customHeight="true" outlineLevel="0" collapsed="false">
      <c r="A317" s="19"/>
      <c r="B317" s="20"/>
      <c r="C317" s="21"/>
      <c r="D317" s="21"/>
      <c r="E317" s="14"/>
      <c r="F317" s="22"/>
      <c r="G317" s="23"/>
      <c r="H317" s="2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</row>
    <row r="318" customFormat="false" ht="15.75" hidden="false" customHeight="true" outlineLevel="0" collapsed="false">
      <c r="A318" s="19"/>
      <c r="B318" s="20"/>
      <c r="C318" s="21"/>
      <c r="D318" s="21"/>
      <c r="E318" s="14"/>
      <c r="F318" s="22"/>
      <c r="G318" s="23"/>
      <c r="H318" s="2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</row>
    <row r="319" customFormat="false" ht="15.75" hidden="false" customHeight="true" outlineLevel="0" collapsed="false">
      <c r="A319" s="19"/>
      <c r="B319" s="20"/>
      <c r="C319" s="21"/>
      <c r="D319" s="21"/>
      <c r="E319" s="14"/>
      <c r="F319" s="22"/>
      <c r="G319" s="23"/>
      <c r="H319" s="2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</row>
    <row r="320" customFormat="false" ht="15.75" hidden="false" customHeight="true" outlineLevel="0" collapsed="false">
      <c r="A320" s="19"/>
      <c r="B320" s="20"/>
      <c r="C320" s="21"/>
      <c r="D320" s="21"/>
      <c r="E320" s="14"/>
      <c r="F320" s="22"/>
      <c r="G320" s="23"/>
      <c r="H320" s="2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</row>
    <row r="321" customFormat="false" ht="15.75" hidden="false" customHeight="true" outlineLevel="0" collapsed="false">
      <c r="A321" s="19"/>
      <c r="B321" s="20"/>
      <c r="C321" s="21"/>
      <c r="D321" s="21"/>
      <c r="E321" s="14"/>
      <c r="F321" s="22"/>
      <c r="G321" s="23"/>
      <c r="H321" s="2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</row>
    <row r="322" customFormat="false" ht="15.75" hidden="false" customHeight="true" outlineLevel="0" collapsed="false">
      <c r="A322" s="19"/>
      <c r="B322" s="20"/>
      <c r="C322" s="21"/>
      <c r="D322" s="21"/>
      <c r="E322" s="14"/>
      <c r="F322" s="22"/>
      <c r="G322" s="23"/>
      <c r="H322" s="2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</row>
    <row r="323" customFormat="false" ht="15.75" hidden="false" customHeight="true" outlineLevel="0" collapsed="false">
      <c r="A323" s="19"/>
      <c r="B323" s="20"/>
      <c r="C323" s="21"/>
      <c r="D323" s="21"/>
      <c r="E323" s="14"/>
      <c r="F323" s="22"/>
      <c r="G323" s="23"/>
      <c r="H323" s="2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</row>
    <row r="324" customFormat="false" ht="15.75" hidden="false" customHeight="true" outlineLevel="0" collapsed="false">
      <c r="A324" s="19"/>
      <c r="B324" s="20"/>
      <c r="C324" s="21"/>
      <c r="D324" s="21"/>
      <c r="E324" s="14"/>
      <c r="F324" s="22"/>
      <c r="G324" s="23"/>
      <c r="H324" s="2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</row>
    <row r="325" customFormat="false" ht="15.75" hidden="false" customHeight="true" outlineLevel="0" collapsed="false">
      <c r="A325" s="19"/>
      <c r="B325" s="20"/>
      <c r="C325" s="21"/>
      <c r="D325" s="21"/>
      <c r="E325" s="14"/>
      <c r="F325" s="22"/>
      <c r="G325" s="23"/>
      <c r="H325" s="2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</row>
    <row r="326" customFormat="false" ht="15.75" hidden="false" customHeight="true" outlineLevel="0" collapsed="false">
      <c r="A326" s="19"/>
      <c r="B326" s="20"/>
      <c r="C326" s="21"/>
      <c r="D326" s="21"/>
      <c r="E326" s="14"/>
      <c r="F326" s="22"/>
      <c r="G326" s="23"/>
      <c r="H326" s="2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</row>
    <row r="327" customFormat="false" ht="15.75" hidden="false" customHeight="true" outlineLevel="0" collapsed="false">
      <c r="A327" s="19"/>
      <c r="B327" s="20"/>
      <c r="C327" s="21"/>
      <c r="D327" s="21"/>
      <c r="E327" s="14"/>
      <c r="F327" s="22"/>
      <c r="G327" s="23"/>
      <c r="H327" s="2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</row>
    <row r="328" customFormat="false" ht="15.75" hidden="false" customHeight="true" outlineLevel="0" collapsed="false">
      <c r="A328" s="19"/>
      <c r="B328" s="20"/>
      <c r="C328" s="21"/>
      <c r="D328" s="21"/>
      <c r="E328" s="14"/>
      <c r="F328" s="22"/>
      <c r="G328" s="23"/>
      <c r="H328" s="2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</row>
    <row r="329" customFormat="false" ht="15.75" hidden="false" customHeight="true" outlineLevel="0" collapsed="false">
      <c r="A329" s="19"/>
      <c r="B329" s="20"/>
      <c r="C329" s="21"/>
      <c r="D329" s="21"/>
      <c r="E329" s="14"/>
      <c r="F329" s="22"/>
      <c r="G329" s="23"/>
      <c r="H329" s="2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</row>
    <row r="330" customFormat="false" ht="15.75" hidden="false" customHeight="true" outlineLevel="0" collapsed="false">
      <c r="A330" s="19"/>
      <c r="B330" s="20"/>
      <c r="C330" s="21"/>
      <c r="D330" s="21"/>
      <c r="E330" s="14"/>
      <c r="F330" s="22"/>
      <c r="G330" s="23"/>
      <c r="H330" s="2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</row>
    <row r="331" customFormat="false" ht="15.75" hidden="false" customHeight="true" outlineLevel="0" collapsed="false">
      <c r="A331" s="19"/>
      <c r="B331" s="20"/>
      <c r="C331" s="21"/>
      <c r="D331" s="21"/>
      <c r="E331" s="14"/>
      <c r="F331" s="22"/>
      <c r="G331" s="23"/>
      <c r="H331" s="2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</row>
    <row r="332" customFormat="false" ht="15.75" hidden="false" customHeight="true" outlineLevel="0" collapsed="false">
      <c r="A332" s="19"/>
      <c r="B332" s="20"/>
      <c r="C332" s="21"/>
      <c r="D332" s="21"/>
      <c r="E332" s="14"/>
      <c r="F332" s="22"/>
      <c r="G332" s="23"/>
      <c r="H332" s="2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</row>
    <row r="333" customFormat="false" ht="15.75" hidden="false" customHeight="true" outlineLevel="0" collapsed="false">
      <c r="A333" s="19"/>
      <c r="B333" s="20"/>
      <c r="C333" s="21"/>
      <c r="D333" s="21"/>
      <c r="E333" s="14"/>
      <c r="F333" s="22"/>
      <c r="G333" s="23"/>
      <c r="H333" s="2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</row>
    <row r="334" customFormat="false" ht="15.75" hidden="false" customHeight="true" outlineLevel="0" collapsed="false">
      <c r="A334" s="19"/>
      <c r="B334" s="20"/>
      <c r="C334" s="21"/>
      <c r="D334" s="21"/>
      <c r="E334" s="14"/>
      <c r="F334" s="22"/>
      <c r="G334" s="23"/>
      <c r="H334" s="2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</row>
    <row r="335" customFormat="false" ht="15.75" hidden="false" customHeight="true" outlineLevel="0" collapsed="false">
      <c r="A335" s="19"/>
      <c r="B335" s="20"/>
      <c r="C335" s="21"/>
      <c r="D335" s="21"/>
      <c r="E335" s="14"/>
      <c r="F335" s="22"/>
      <c r="G335" s="23"/>
      <c r="H335" s="2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</row>
    <row r="336" customFormat="false" ht="15.75" hidden="false" customHeight="true" outlineLevel="0" collapsed="false">
      <c r="A336" s="19"/>
      <c r="B336" s="20"/>
      <c r="C336" s="21"/>
      <c r="D336" s="21"/>
      <c r="E336" s="14"/>
      <c r="F336" s="22"/>
      <c r="G336" s="23"/>
      <c r="H336" s="2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</row>
    <row r="337" customFormat="false" ht="15.75" hidden="false" customHeight="true" outlineLevel="0" collapsed="false">
      <c r="A337" s="19"/>
      <c r="B337" s="20"/>
      <c r="C337" s="21"/>
      <c r="D337" s="21"/>
      <c r="E337" s="14"/>
      <c r="F337" s="22"/>
      <c r="G337" s="23"/>
      <c r="H337" s="2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</row>
    <row r="338" customFormat="false" ht="15.75" hidden="false" customHeight="true" outlineLevel="0" collapsed="false">
      <c r="A338" s="19"/>
      <c r="B338" s="20"/>
      <c r="C338" s="21"/>
      <c r="D338" s="21"/>
      <c r="E338" s="14"/>
      <c r="F338" s="22"/>
      <c r="G338" s="23"/>
      <c r="H338" s="2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</row>
    <row r="339" customFormat="false" ht="15.75" hidden="false" customHeight="true" outlineLevel="0" collapsed="false">
      <c r="A339" s="19"/>
      <c r="B339" s="20"/>
      <c r="C339" s="21"/>
      <c r="D339" s="21"/>
      <c r="E339" s="14"/>
      <c r="F339" s="22"/>
      <c r="G339" s="23"/>
      <c r="H339" s="2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</row>
    <row r="340" customFormat="false" ht="15.75" hidden="false" customHeight="true" outlineLevel="0" collapsed="false">
      <c r="A340" s="19"/>
      <c r="B340" s="20"/>
      <c r="C340" s="21"/>
      <c r="D340" s="21"/>
      <c r="E340" s="14"/>
      <c r="F340" s="22"/>
      <c r="G340" s="23"/>
      <c r="H340" s="2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</row>
    <row r="341" customFormat="false" ht="15.75" hidden="false" customHeight="true" outlineLevel="0" collapsed="false">
      <c r="A341" s="19"/>
      <c r="B341" s="20"/>
      <c r="C341" s="21"/>
      <c r="D341" s="21"/>
      <c r="E341" s="14"/>
      <c r="F341" s="22"/>
      <c r="G341" s="23"/>
      <c r="H341" s="2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</row>
    <row r="342" customFormat="false" ht="15.75" hidden="false" customHeight="true" outlineLevel="0" collapsed="false">
      <c r="A342" s="19"/>
      <c r="B342" s="20"/>
      <c r="C342" s="21"/>
      <c r="D342" s="21"/>
      <c r="E342" s="14"/>
      <c r="F342" s="22"/>
      <c r="G342" s="23"/>
      <c r="H342" s="2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</row>
    <row r="343" customFormat="false" ht="15.75" hidden="false" customHeight="true" outlineLevel="0" collapsed="false">
      <c r="A343" s="19"/>
      <c r="B343" s="20"/>
      <c r="C343" s="21"/>
      <c r="D343" s="21"/>
      <c r="E343" s="14"/>
      <c r="F343" s="22"/>
      <c r="G343" s="23"/>
      <c r="H343" s="2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</row>
    <row r="344" customFormat="false" ht="15.75" hidden="false" customHeight="true" outlineLevel="0" collapsed="false">
      <c r="A344" s="19"/>
      <c r="B344" s="20"/>
      <c r="C344" s="21"/>
      <c r="D344" s="21"/>
      <c r="E344" s="14"/>
      <c r="F344" s="22"/>
      <c r="G344" s="23"/>
      <c r="H344" s="2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</row>
    <row r="345" customFormat="false" ht="15.75" hidden="false" customHeight="true" outlineLevel="0" collapsed="false">
      <c r="A345" s="19"/>
      <c r="B345" s="20"/>
      <c r="C345" s="21"/>
      <c r="D345" s="21"/>
      <c r="E345" s="14"/>
      <c r="F345" s="22"/>
      <c r="G345" s="23"/>
      <c r="H345" s="2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</row>
    <row r="346" customFormat="false" ht="15.75" hidden="false" customHeight="true" outlineLevel="0" collapsed="false">
      <c r="A346" s="19"/>
      <c r="B346" s="20"/>
      <c r="C346" s="21"/>
      <c r="D346" s="21"/>
      <c r="E346" s="14"/>
      <c r="F346" s="22"/>
      <c r="G346" s="23"/>
      <c r="H346" s="2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</row>
    <row r="347" customFormat="false" ht="15.75" hidden="false" customHeight="true" outlineLevel="0" collapsed="false">
      <c r="A347" s="19"/>
      <c r="B347" s="20"/>
      <c r="C347" s="21"/>
      <c r="D347" s="21"/>
      <c r="E347" s="14"/>
      <c r="F347" s="22"/>
      <c r="G347" s="23"/>
      <c r="H347" s="2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</row>
    <row r="348" customFormat="false" ht="15.75" hidden="false" customHeight="true" outlineLevel="0" collapsed="false">
      <c r="A348" s="19"/>
      <c r="B348" s="20"/>
      <c r="C348" s="21"/>
      <c r="D348" s="21"/>
      <c r="E348" s="14"/>
      <c r="F348" s="22"/>
      <c r="G348" s="23"/>
      <c r="H348" s="2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</row>
    <row r="349" customFormat="false" ht="15.75" hidden="false" customHeight="true" outlineLevel="0" collapsed="false">
      <c r="A349" s="19"/>
      <c r="B349" s="20"/>
      <c r="C349" s="21"/>
      <c r="D349" s="21"/>
      <c r="E349" s="14"/>
      <c r="F349" s="22"/>
      <c r="G349" s="23"/>
      <c r="H349" s="2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</row>
    <row r="350" customFormat="false" ht="15.75" hidden="false" customHeight="true" outlineLevel="0" collapsed="false">
      <c r="A350" s="19"/>
      <c r="B350" s="20"/>
      <c r="C350" s="21"/>
      <c r="D350" s="21"/>
      <c r="E350" s="14"/>
      <c r="F350" s="22"/>
      <c r="G350" s="23"/>
      <c r="H350" s="2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</row>
    <row r="351" customFormat="false" ht="15.75" hidden="false" customHeight="true" outlineLevel="0" collapsed="false">
      <c r="A351" s="19"/>
      <c r="B351" s="20"/>
      <c r="C351" s="21"/>
      <c r="D351" s="21"/>
      <c r="E351" s="14"/>
      <c r="F351" s="22"/>
      <c r="G351" s="23"/>
      <c r="H351" s="2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</row>
    <row r="352" customFormat="false" ht="15.75" hidden="false" customHeight="true" outlineLevel="0" collapsed="false">
      <c r="A352" s="19"/>
      <c r="B352" s="20"/>
      <c r="C352" s="21"/>
      <c r="D352" s="21"/>
      <c r="E352" s="14"/>
      <c r="F352" s="22"/>
      <c r="G352" s="23"/>
      <c r="H352" s="2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</row>
    <row r="353" customFormat="false" ht="15.75" hidden="false" customHeight="true" outlineLevel="0" collapsed="false">
      <c r="A353" s="19"/>
      <c r="B353" s="20"/>
      <c r="C353" s="21"/>
      <c r="D353" s="21"/>
      <c r="E353" s="14"/>
      <c r="F353" s="22"/>
      <c r="G353" s="23"/>
      <c r="H353" s="2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</row>
    <row r="354" customFormat="false" ht="15.75" hidden="false" customHeight="true" outlineLevel="0" collapsed="false">
      <c r="A354" s="19"/>
      <c r="B354" s="20"/>
      <c r="C354" s="21"/>
      <c r="D354" s="21"/>
      <c r="E354" s="14"/>
      <c r="F354" s="22"/>
      <c r="G354" s="23"/>
      <c r="H354" s="2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</row>
    <row r="355" customFormat="false" ht="15.75" hidden="false" customHeight="true" outlineLevel="0" collapsed="false">
      <c r="A355" s="19"/>
      <c r="B355" s="20"/>
      <c r="C355" s="21"/>
      <c r="D355" s="21"/>
      <c r="E355" s="14"/>
      <c r="F355" s="22"/>
      <c r="G355" s="23"/>
      <c r="H355" s="2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</row>
    <row r="356" customFormat="false" ht="15.75" hidden="false" customHeight="true" outlineLevel="0" collapsed="false">
      <c r="A356" s="19"/>
      <c r="B356" s="20"/>
      <c r="C356" s="21"/>
      <c r="D356" s="21"/>
      <c r="E356" s="14"/>
      <c r="F356" s="22"/>
      <c r="G356" s="23"/>
      <c r="H356" s="2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</row>
    <row r="357" customFormat="false" ht="15.75" hidden="false" customHeight="true" outlineLevel="0" collapsed="false">
      <c r="A357" s="19"/>
      <c r="B357" s="20"/>
      <c r="C357" s="21"/>
      <c r="D357" s="21"/>
      <c r="E357" s="14"/>
      <c r="F357" s="22"/>
      <c r="G357" s="23"/>
      <c r="H357" s="2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</row>
    <row r="358" customFormat="false" ht="15.75" hidden="false" customHeight="true" outlineLevel="0" collapsed="false">
      <c r="A358" s="19"/>
      <c r="B358" s="20"/>
      <c r="C358" s="21"/>
      <c r="D358" s="21"/>
      <c r="E358" s="14"/>
      <c r="F358" s="22"/>
      <c r="G358" s="23"/>
      <c r="H358" s="2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</row>
    <row r="359" customFormat="false" ht="15.75" hidden="false" customHeight="true" outlineLevel="0" collapsed="false">
      <c r="A359" s="19"/>
      <c r="B359" s="20"/>
      <c r="C359" s="21"/>
      <c r="D359" s="21"/>
      <c r="E359" s="14"/>
      <c r="F359" s="22"/>
      <c r="G359" s="23"/>
      <c r="H359" s="2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</row>
    <row r="360" customFormat="false" ht="15.75" hidden="false" customHeight="true" outlineLevel="0" collapsed="false">
      <c r="A360" s="19"/>
      <c r="B360" s="20"/>
      <c r="C360" s="21"/>
      <c r="D360" s="21"/>
      <c r="E360" s="14"/>
      <c r="F360" s="22"/>
      <c r="G360" s="23"/>
      <c r="H360" s="2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</row>
    <row r="361" customFormat="false" ht="15.75" hidden="false" customHeight="true" outlineLevel="0" collapsed="false">
      <c r="A361" s="19"/>
      <c r="B361" s="20"/>
      <c r="C361" s="21"/>
      <c r="D361" s="21"/>
      <c r="E361" s="14"/>
      <c r="F361" s="22"/>
      <c r="G361" s="23"/>
      <c r="H361" s="2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</row>
    <row r="362" customFormat="false" ht="15.75" hidden="false" customHeight="true" outlineLevel="0" collapsed="false">
      <c r="A362" s="19"/>
      <c r="B362" s="20"/>
      <c r="C362" s="21"/>
      <c r="D362" s="21"/>
      <c r="E362" s="14"/>
      <c r="F362" s="22"/>
      <c r="G362" s="23"/>
      <c r="H362" s="2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</row>
    <row r="363" customFormat="false" ht="15.75" hidden="false" customHeight="true" outlineLevel="0" collapsed="false">
      <c r="A363" s="19"/>
      <c r="B363" s="20"/>
      <c r="C363" s="21"/>
      <c r="D363" s="21"/>
      <c r="E363" s="14"/>
      <c r="F363" s="22"/>
      <c r="G363" s="23"/>
      <c r="H363" s="2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</row>
    <row r="364" customFormat="false" ht="15.75" hidden="false" customHeight="true" outlineLevel="0" collapsed="false">
      <c r="A364" s="19"/>
      <c r="B364" s="20"/>
      <c r="C364" s="21"/>
      <c r="D364" s="21"/>
      <c r="E364" s="14"/>
      <c r="F364" s="22"/>
      <c r="G364" s="23"/>
      <c r="H364" s="2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</row>
    <row r="365" customFormat="false" ht="15.75" hidden="false" customHeight="true" outlineLevel="0" collapsed="false">
      <c r="A365" s="19"/>
      <c r="B365" s="20"/>
      <c r="C365" s="21"/>
      <c r="D365" s="21"/>
      <c r="E365" s="14"/>
      <c r="F365" s="22"/>
      <c r="G365" s="23"/>
      <c r="H365" s="2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</row>
    <row r="366" customFormat="false" ht="15.75" hidden="false" customHeight="true" outlineLevel="0" collapsed="false">
      <c r="A366" s="19"/>
      <c r="B366" s="20"/>
      <c r="C366" s="21"/>
      <c r="D366" s="21"/>
      <c r="E366" s="14"/>
      <c r="F366" s="22"/>
      <c r="G366" s="23"/>
      <c r="H366" s="2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</row>
    <row r="367" customFormat="false" ht="15.75" hidden="false" customHeight="true" outlineLevel="0" collapsed="false">
      <c r="A367" s="19"/>
      <c r="B367" s="20"/>
      <c r="C367" s="21"/>
      <c r="D367" s="21"/>
      <c r="E367" s="14"/>
      <c r="F367" s="22"/>
      <c r="G367" s="23"/>
      <c r="H367" s="2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</row>
    <row r="368" customFormat="false" ht="15.75" hidden="false" customHeight="true" outlineLevel="0" collapsed="false">
      <c r="A368" s="19"/>
      <c r="B368" s="20"/>
      <c r="C368" s="21"/>
      <c r="D368" s="21"/>
      <c r="E368" s="14"/>
      <c r="F368" s="22"/>
      <c r="G368" s="23"/>
      <c r="H368" s="2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</row>
    <row r="369" customFormat="false" ht="15.75" hidden="false" customHeight="true" outlineLevel="0" collapsed="false">
      <c r="A369" s="19"/>
      <c r="B369" s="20"/>
      <c r="C369" s="21"/>
      <c r="D369" s="21"/>
      <c r="E369" s="14"/>
      <c r="F369" s="22"/>
      <c r="G369" s="23"/>
      <c r="H369" s="2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</row>
    <row r="370" customFormat="false" ht="15.75" hidden="false" customHeight="true" outlineLevel="0" collapsed="false">
      <c r="A370" s="19"/>
      <c r="B370" s="20"/>
      <c r="C370" s="21"/>
      <c r="D370" s="21"/>
      <c r="E370" s="14"/>
      <c r="F370" s="22"/>
      <c r="G370" s="23"/>
      <c r="H370" s="2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</row>
    <row r="371" customFormat="false" ht="15.75" hidden="false" customHeight="true" outlineLevel="0" collapsed="false">
      <c r="A371" s="19"/>
      <c r="B371" s="20"/>
      <c r="C371" s="21"/>
      <c r="D371" s="21"/>
      <c r="E371" s="14"/>
      <c r="F371" s="22"/>
      <c r="G371" s="23"/>
      <c r="H371" s="2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</row>
    <row r="372" customFormat="false" ht="15.75" hidden="false" customHeight="true" outlineLevel="0" collapsed="false">
      <c r="A372" s="19"/>
      <c r="B372" s="20"/>
      <c r="C372" s="21"/>
      <c r="D372" s="21"/>
      <c r="E372" s="14"/>
      <c r="F372" s="22"/>
      <c r="G372" s="23"/>
      <c r="H372" s="2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</row>
    <row r="373" customFormat="false" ht="15.75" hidden="false" customHeight="true" outlineLevel="0" collapsed="false">
      <c r="A373" s="19"/>
      <c r="B373" s="20"/>
      <c r="C373" s="21"/>
      <c r="D373" s="21"/>
      <c r="E373" s="14"/>
      <c r="F373" s="22"/>
      <c r="G373" s="23"/>
      <c r="H373" s="2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</row>
    <row r="374" customFormat="false" ht="15.75" hidden="false" customHeight="true" outlineLevel="0" collapsed="false">
      <c r="A374" s="19"/>
      <c r="B374" s="20"/>
      <c r="C374" s="21"/>
      <c r="D374" s="21"/>
      <c r="E374" s="14"/>
      <c r="F374" s="22"/>
      <c r="G374" s="23"/>
      <c r="H374" s="2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</row>
    <row r="375" customFormat="false" ht="15.75" hidden="false" customHeight="true" outlineLevel="0" collapsed="false">
      <c r="A375" s="19"/>
      <c r="B375" s="20"/>
      <c r="C375" s="21"/>
      <c r="D375" s="21"/>
      <c r="E375" s="14"/>
      <c r="F375" s="22"/>
      <c r="G375" s="23"/>
      <c r="H375" s="2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</row>
    <row r="376" customFormat="false" ht="15.75" hidden="false" customHeight="true" outlineLevel="0" collapsed="false">
      <c r="A376" s="19"/>
      <c r="B376" s="20"/>
      <c r="C376" s="21"/>
      <c r="D376" s="21"/>
      <c r="E376" s="14"/>
      <c r="F376" s="22"/>
      <c r="G376" s="23"/>
      <c r="H376" s="2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</row>
    <row r="377" customFormat="false" ht="15.75" hidden="false" customHeight="true" outlineLevel="0" collapsed="false">
      <c r="A377" s="19"/>
      <c r="B377" s="20"/>
      <c r="C377" s="21"/>
      <c r="D377" s="21"/>
      <c r="E377" s="14"/>
      <c r="F377" s="22"/>
      <c r="G377" s="23"/>
      <c r="H377" s="2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</row>
    <row r="378" customFormat="false" ht="15.75" hidden="false" customHeight="true" outlineLevel="0" collapsed="false">
      <c r="A378" s="19"/>
      <c r="B378" s="20"/>
      <c r="C378" s="21"/>
      <c r="D378" s="21"/>
      <c r="E378" s="14"/>
      <c r="F378" s="22"/>
      <c r="G378" s="23"/>
      <c r="H378" s="2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</row>
    <row r="379" customFormat="false" ht="15.75" hidden="false" customHeight="true" outlineLevel="0" collapsed="false">
      <c r="A379" s="19"/>
      <c r="B379" s="20"/>
      <c r="C379" s="21"/>
      <c r="D379" s="21"/>
      <c r="E379" s="14"/>
      <c r="F379" s="22"/>
      <c r="G379" s="23"/>
      <c r="H379" s="2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</row>
    <row r="380" customFormat="false" ht="15.75" hidden="false" customHeight="true" outlineLevel="0" collapsed="false">
      <c r="A380" s="19"/>
      <c r="B380" s="20"/>
      <c r="C380" s="21"/>
      <c r="D380" s="21"/>
      <c r="E380" s="14"/>
      <c r="F380" s="22"/>
      <c r="G380" s="23"/>
      <c r="H380" s="2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</row>
    <row r="381" customFormat="false" ht="15.75" hidden="false" customHeight="true" outlineLevel="0" collapsed="false">
      <c r="A381" s="19"/>
      <c r="B381" s="20"/>
      <c r="C381" s="21"/>
      <c r="D381" s="21"/>
      <c r="E381" s="14"/>
      <c r="F381" s="22"/>
      <c r="G381" s="23"/>
      <c r="H381" s="2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</row>
    <row r="382" customFormat="false" ht="15.75" hidden="false" customHeight="true" outlineLevel="0" collapsed="false">
      <c r="A382" s="19"/>
      <c r="B382" s="20"/>
      <c r="C382" s="21"/>
      <c r="D382" s="21"/>
      <c r="E382" s="14"/>
      <c r="F382" s="22"/>
      <c r="G382" s="23"/>
      <c r="H382" s="2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</row>
    <row r="383" customFormat="false" ht="15.75" hidden="false" customHeight="true" outlineLevel="0" collapsed="false">
      <c r="A383" s="19"/>
      <c r="B383" s="20"/>
      <c r="C383" s="21"/>
      <c r="D383" s="21"/>
      <c r="E383" s="14"/>
      <c r="F383" s="22"/>
      <c r="G383" s="23"/>
      <c r="H383" s="2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</row>
    <row r="384" customFormat="false" ht="15.75" hidden="false" customHeight="true" outlineLevel="0" collapsed="false">
      <c r="A384" s="19"/>
      <c r="B384" s="20"/>
      <c r="C384" s="21"/>
      <c r="D384" s="21"/>
      <c r="E384" s="14"/>
      <c r="F384" s="22"/>
      <c r="G384" s="23"/>
      <c r="H384" s="2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</row>
    <row r="385" customFormat="false" ht="15.75" hidden="false" customHeight="true" outlineLevel="0" collapsed="false">
      <c r="A385" s="19"/>
      <c r="B385" s="20"/>
      <c r="C385" s="21"/>
      <c r="D385" s="21"/>
      <c r="E385" s="14"/>
      <c r="F385" s="22"/>
      <c r="G385" s="23"/>
      <c r="H385" s="2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</row>
    <row r="386" customFormat="false" ht="15.75" hidden="false" customHeight="true" outlineLevel="0" collapsed="false">
      <c r="A386" s="19"/>
      <c r="B386" s="20"/>
      <c r="C386" s="21"/>
      <c r="D386" s="21"/>
      <c r="E386" s="14"/>
      <c r="F386" s="22"/>
      <c r="G386" s="23"/>
      <c r="H386" s="2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</row>
    <row r="387" customFormat="false" ht="15.75" hidden="false" customHeight="true" outlineLevel="0" collapsed="false">
      <c r="A387" s="19"/>
      <c r="B387" s="20"/>
      <c r="C387" s="21"/>
      <c r="D387" s="21"/>
      <c r="E387" s="14"/>
      <c r="F387" s="22"/>
      <c r="G387" s="23"/>
      <c r="H387" s="2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</row>
    <row r="388" customFormat="false" ht="15.75" hidden="false" customHeight="true" outlineLevel="0" collapsed="false">
      <c r="A388" s="19"/>
      <c r="B388" s="20"/>
      <c r="C388" s="21"/>
      <c r="D388" s="21"/>
      <c r="E388" s="14"/>
      <c r="F388" s="22"/>
      <c r="G388" s="23"/>
      <c r="H388" s="2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</row>
    <row r="389" customFormat="false" ht="15.75" hidden="false" customHeight="true" outlineLevel="0" collapsed="false">
      <c r="A389" s="19"/>
      <c r="B389" s="20"/>
      <c r="C389" s="21"/>
      <c r="D389" s="21"/>
      <c r="E389" s="14"/>
      <c r="F389" s="22"/>
      <c r="G389" s="23"/>
      <c r="H389" s="2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</row>
    <row r="390" customFormat="false" ht="15.75" hidden="false" customHeight="true" outlineLevel="0" collapsed="false">
      <c r="A390" s="19"/>
      <c r="B390" s="20"/>
      <c r="C390" s="21"/>
      <c r="D390" s="21"/>
      <c r="E390" s="14"/>
      <c r="F390" s="22"/>
      <c r="G390" s="23"/>
      <c r="H390" s="2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</row>
    <row r="391" customFormat="false" ht="15.75" hidden="false" customHeight="true" outlineLevel="0" collapsed="false">
      <c r="A391" s="19"/>
      <c r="B391" s="20"/>
      <c r="C391" s="21"/>
      <c r="D391" s="21"/>
      <c r="E391" s="14"/>
      <c r="F391" s="22"/>
      <c r="G391" s="23"/>
      <c r="H391" s="2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</row>
    <row r="392" customFormat="false" ht="15.75" hidden="false" customHeight="true" outlineLevel="0" collapsed="false">
      <c r="A392" s="19"/>
      <c r="B392" s="20"/>
      <c r="C392" s="21"/>
      <c r="D392" s="21"/>
      <c r="E392" s="14"/>
      <c r="F392" s="22"/>
      <c r="G392" s="23"/>
      <c r="H392" s="2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</row>
    <row r="393" customFormat="false" ht="15.75" hidden="false" customHeight="true" outlineLevel="0" collapsed="false">
      <c r="A393" s="19"/>
      <c r="B393" s="20"/>
      <c r="C393" s="21"/>
      <c r="D393" s="21"/>
      <c r="E393" s="14"/>
      <c r="F393" s="22"/>
      <c r="G393" s="23"/>
      <c r="H393" s="2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</row>
    <row r="394" customFormat="false" ht="15.75" hidden="false" customHeight="true" outlineLevel="0" collapsed="false">
      <c r="A394" s="19"/>
      <c r="B394" s="20"/>
      <c r="C394" s="21"/>
      <c r="D394" s="21"/>
      <c r="E394" s="14"/>
      <c r="F394" s="22"/>
      <c r="G394" s="23"/>
      <c r="H394" s="2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</row>
    <row r="395" customFormat="false" ht="15.75" hidden="false" customHeight="true" outlineLevel="0" collapsed="false">
      <c r="A395" s="19"/>
      <c r="B395" s="20"/>
      <c r="C395" s="21"/>
      <c r="D395" s="21"/>
      <c r="E395" s="14"/>
      <c r="F395" s="22"/>
      <c r="G395" s="23"/>
      <c r="H395" s="2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</row>
    <row r="396" customFormat="false" ht="15.75" hidden="false" customHeight="true" outlineLevel="0" collapsed="false">
      <c r="A396" s="19"/>
      <c r="B396" s="20"/>
      <c r="C396" s="21"/>
      <c r="D396" s="21"/>
      <c r="E396" s="14"/>
      <c r="F396" s="22"/>
      <c r="G396" s="23"/>
      <c r="H396" s="2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</row>
    <row r="397" customFormat="false" ht="15.75" hidden="false" customHeight="true" outlineLevel="0" collapsed="false">
      <c r="A397" s="19"/>
      <c r="B397" s="20"/>
      <c r="C397" s="21"/>
      <c r="D397" s="21"/>
      <c r="E397" s="14"/>
      <c r="F397" s="22"/>
      <c r="G397" s="23"/>
      <c r="H397" s="2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</row>
    <row r="398" customFormat="false" ht="15.75" hidden="false" customHeight="true" outlineLevel="0" collapsed="false">
      <c r="A398" s="19"/>
      <c r="B398" s="20"/>
      <c r="C398" s="21"/>
      <c r="D398" s="21"/>
      <c r="E398" s="14"/>
      <c r="F398" s="22"/>
      <c r="G398" s="23"/>
      <c r="H398" s="2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</row>
    <row r="399" customFormat="false" ht="15.75" hidden="false" customHeight="true" outlineLevel="0" collapsed="false">
      <c r="A399" s="19"/>
      <c r="B399" s="20"/>
      <c r="C399" s="21"/>
      <c r="D399" s="21"/>
      <c r="E399" s="14"/>
      <c r="F399" s="22"/>
      <c r="G399" s="23"/>
      <c r="H399" s="2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</row>
    <row r="400" customFormat="false" ht="15.75" hidden="false" customHeight="true" outlineLevel="0" collapsed="false">
      <c r="A400" s="19"/>
      <c r="B400" s="20"/>
      <c r="C400" s="21"/>
      <c r="D400" s="21"/>
      <c r="E400" s="14"/>
      <c r="F400" s="22"/>
      <c r="G400" s="23"/>
      <c r="H400" s="2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</row>
    <row r="401" customFormat="false" ht="15.75" hidden="false" customHeight="true" outlineLevel="0" collapsed="false">
      <c r="A401" s="19"/>
      <c r="B401" s="20"/>
      <c r="C401" s="21"/>
      <c r="D401" s="21"/>
      <c r="E401" s="14"/>
      <c r="F401" s="22"/>
      <c r="G401" s="23"/>
      <c r="H401" s="2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</row>
    <row r="402" customFormat="false" ht="15.75" hidden="false" customHeight="true" outlineLevel="0" collapsed="false">
      <c r="A402" s="19"/>
      <c r="B402" s="20"/>
      <c r="C402" s="21"/>
      <c r="D402" s="21"/>
      <c r="E402" s="14"/>
      <c r="F402" s="22"/>
      <c r="G402" s="23"/>
      <c r="H402" s="2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</row>
    <row r="403" customFormat="false" ht="15.75" hidden="false" customHeight="true" outlineLevel="0" collapsed="false">
      <c r="A403" s="19"/>
      <c r="B403" s="20"/>
      <c r="C403" s="21"/>
      <c r="D403" s="21"/>
      <c r="E403" s="14"/>
      <c r="F403" s="22"/>
      <c r="G403" s="23"/>
      <c r="H403" s="2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</row>
    <row r="404" customFormat="false" ht="15.75" hidden="false" customHeight="true" outlineLevel="0" collapsed="false">
      <c r="A404" s="19"/>
      <c r="B404" s="20"/>
      <c r="C404" s="21"/>
      <c r="D404" s="21"/>
      <c r="E404" s="14"/>
      <c r="F404" s="22"/>
      <c r="G404" s="23"/>
      <c r="H404" s="2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</row>
    <row r="405" customFormat="false" ht="15.75" hidden="false" customHeight="true" outlineLevel="0" collapsed="false">
      <c r="A405" s="19"/>
      <c r="B405" s="20"/>
      <c r="C405" s="21"/>
      <c r="D405" s="21"/>
      <c r="E405" s="14"/>
      <c r="F405" s="22"/>
      <c r="G405" s="23"/>
      <c r="H405" s="2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</row>
    <row r="406" customFormat="false" ht="15.75" hidden="false" customHeight="true" outlineLevel="0" collapsed="false">
      <c r="A406" s="19"/>
      <c r="B406" s="20"/>
      <c r="C406" s="21"/>
      <c r="D406" s="21"/>
      <c r="E406" s="14"/>
      <c r="F406" s="22"/>
      <c r="G406" s="23"/>
      <c r="H406" s="2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</row>
    <row r="407" customFormat="false" ht="15.75" hidden="false" customHeight="true" outlineLevel="0" collapsed="false">
      <c r="A407" s="19"/>
      <c r="B407" s="20"/>
      <c r="C407" s="21"/>
      <c r="D407" s="21"/>
      <c r="E407" s="14"/>
      <c r="F407" s="22"/>
      <c r="G407" s="23"/>
      <c r="H407" s="2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</row>
    <row r="408" customFormat="false" ht="15.75" hidden="false" customHeight="true" outlineLevel="0" collapsed="false">
      <c r="A408" s="19"/>
      <c r="B408" s="20"/>
      <c r="C408" s="21"/>
      <c r="D408" s="21"/>
      <c r="E408" s="14"/>
      <c r="F408" s="22"/>
      <c r="G408" s="23"/>
      <c r="H408" s="2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</row>
    <row r="409" customFormat="false" ht="15.75" hidden="false" customHeight="true" outlineLevel="0" collapsed="false">
      <c r="A409" s="19"/>
      <c r="B409" s="20"/>
      <c r="C409" s="21"/>
      <c r="D409" s="21"/>
      <c r="E409" s="14"/>
      <c r="F409" s="22"/>
      <c r="G409" s="23"/>
      <c r="H409" s="2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</row>
    <row r="410" customFormat="false" ht="15.75" hidden="false" customHeight="true" outlineLevel="0" collapsed="false">
      <c r="A410" s="19"/>
      <c r="B410" s="20"/>
      <c r="C410" s="21"/>
      <c r="D410" s="21"/>
      <c r="E410" s="14"/>
      <c r="F410" s="22"/>
      <c r="G410" s="23"/>
      <c r="H410" s="2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</row>
    <row r="411" customFormat="false" ht="15.75" hidden="false" customHeight="true" outlineLevel="0" collapsed="false">
      <c r="A411" s="19"/>
      <c r="B411" s="20"/>
      <c r="C411" s="21"/>
      <c r="D411" s="21"/>
      <c r="E411" s="14"/>
      <c r="F411" s="22"/>
      <c r="G411" s="23"/>
      <c r="H411" s="2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</row>
    <row r="412" customFormat="false" ht="15.75" hidden="false" customHeight="true" outlineLevel="0" collapsed="false">
      <c r="A412" s="19"/>
      <c r="B412" s="20"/>
      <c r="C412" s="21"/>
      <c r="D412" s="21"/>
      <c r="E412" s="14"/>
      <c r="F412" s="22"/>
      <c r="G412" s="23"/>
      <c r="H412" s="2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</row>
    <row r="413" customFormat="false" ht="15.75" hidden="false" customHeight="true" outlineLevel="0" collapsed="false">
      <c r="A413" s="19"/>
      <c r="B413" s="20"/>
      <c r="C413" s="21"/>
      <c r="D413" s="21"/>
      <c r="E413" s="14"/>
      <c r="F413" s="22"/>
      <c r="G413" s="23"/>
      <c r="H413" s="2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</row>
    <row r="414" customFormat="false" ht="15.75" hidden="false" customHeight="true" outlineLevel="0" collapsed="false">
      <c r="A414" s="19"/>
      <c r="B414" s="20"/>
      <c r="C414" s="21"/>
      <c r="D414" s="21"/>
      <c r="E414" s="14"/>
      <c r="F414" s="22"/>
      <c r="G414" s="23"/>
      <c r="H414" s="2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</row>
    <row r="415" customFormat="false" ht="15.75" hidden="false" customHeight="true" outlineLevel="0" collapsed="false">
      <c r="A415" s="19"/>
      <c r="B415" s="20"/>
      <c r="C415" s="21"/>
      <c r="D415" s="21"/>
      <c r="E415" s="14"/>
      <c r="F415" s="22"/>
      <c r="G415" s="23"/>
      <c r="H415" s="2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</row>
    <row r="416" customFormat="false" ht="15.75" hidden="false" customHeight="true" outlineLevel="0" collapsed="false">
      <c r="A416" s="19"/>
      <c r="B416" s="20"/>
      <c r="C416" s="21"/>
      <c r="D416" s="21"/>
      <c r="E416" s="14"/>
      <c r="F416" s="22"/>
      <c r="G416" s="23"/>
      <c r="H416" s="2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</row>
    <row r="417" customFormat="false" ht="15.75" hidden="false" customHeight="true" outlineLevel="0" collapsed="false">
      <c r="A417" s="19"/>
      <c r="B417" s="20"/>
      <c r="C417" s="21"/>
      <c r="D417" s="21"/>
      <c r="E417" s="14"/>
      <c r="F417" s="22"/>
      <c r="G417" s="23"/>
      <c r="H417" s="2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</row>
    <row r="418" customFormat="false" ht="15.75" hidden="false" customHeight="true" outlineLevel="0" collapsed="false">
      <c r="A418" s="19"/>
      <c r="B418" s="20"/>
      <c r="C418" s="21"/>
      <c r="D418" s="21"/>
      <c r="E418" s="14"/>
      <c r="F418" s="22"/>
      <c r="G418" s="23"/>
      <c r="H418" s="2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</row>
    <row r="419" customFormat="false" ht="15.75" hidden="false" customHeight="true" outlineLevel="0" collapsed="false">
      <c r="A419" s="19"/>
      <c r="B419" s="20"/>
      <c r="C419" s="21"/>
      <c r="D419" s="21"/>
      <c r="E419" s="14"/>
      <c r="F419" s="22"/>
      <c r="G419" s="23"/>
      <c r="H419" s="2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</row>
    <row r="420" customFormat="false" ht="15.75" hidden="false" customHeight="true" outlineLevel="0" collapsed="false">
      <c r="A420" s="19"/>
      <c r="B420" s="20"/>
      <c r="C420" s="21"/>
      <c r="D420" s="21"/>
      <c r="E420" s="14"/>
      <c r="F420" s="22"/>
      <c r="G420" s="23"/>
      <c r="H420" s="2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</row>
    <row r="421" customFormat="false" ht="15.75" hidden="false" customHeight="true" outlineLevel="0" collapsed="false">
      <c r="A421" s="19"/>
      <c r="B421" s="20"/>
      <c r="C421" s="21"/>
      <c r="D421" s="21"/>
      <c r="E421" s="14"/>
      <c r="F421" s="22"/>
      <c r="G421" s="23"/>
      <c r="H421" s="2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</row>
    <row r="422" customFormat="false" ht="15.75" hidden="false" customHeight="true" outlineLevel="0" collapsed="false">
      <c r="A422" s="19"/>
      <c r="B422" s="20"/>
      <c r="C422" s="21"/>
      <c r="D422" s="21"/>
      <c r="E422" s="14"/>
      <c r="F422" s="22"/>
      <c r="G422" s="23"/>
      <c r="H422" s="2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</row>
    <row r="423" customFormat="false" ht="15.75" hidden="false" customHeight="true" outlineLevel="0" collapsed="false">
      <c r="A423" s="19"/>
      <c r="B423" s="20"/>
      <c r="C423" s="21"/>
      <c r="D423" s="21"/>
      <c r="E423" s="14"/>
      <c r="F423" s="22"/>
      <c r="G423" s="23"/>
      <c r="H423" s="2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</row>
    <row r="424" customFormat="false" ht="15.75" hidden="false" customHeight="true" outlineLevel="0" collapsed="false">
      <c r="A424" s="19"/>
      <c r="B424" s="20"/>
      <c r="C424" s="21"/>
      <c r="D424" s="21"/>
      <c r="E424" s="14"/>
      <c r="F424" s="22"/>
      <c r="G424" s="23"/>
      <c r="H424" s="2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</row>
    <row r="425" customFormat="false" ht="15.75" hidden="false" customHeight="true" outlineLevel="0" collapsed="false">
      <c r="A425" s="19"/>
      <c r="B425" s="20"/>
      <c r="C425" s="21"/>
      <c r="D425" s="21"/>
      <c r="E425" s="14"/>
      <c r="F425" s="22"/>
      <c r="G425" s="23"/>
      <c r="H425" s="2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</row>
    <row r="426" customFormat="false" ht="15.75" hidden="false" customHeight="true" outlineLevel="0" collapsed="false">
      <c r="A426" s="19"/>
      <c r="B426" s="20"/>
      <c r="C426" s="21"/>
      <c r="D426" s="21"/>
      <c r="E426" s="14"/>
      <c r="F426" s="22"/>
      <c r="G426" s="23"/>
      <c r="H426" s="2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</row>
    <row r="427" customFormat="false" ht="15.75" hidden="false" customHeight="true" outlineLevel="0" collapsed="false">
      <c r="A427" s="19"/>
      <c r="B427" s="20"/>
      <c r="C427" s="21"/>
      <c r="D427" s="21"/>
      <c r="E427" s="14"/>
      <c r="F427" s="22"/>
      <c r="G427" s="23"/>
      <c r="H427" s="2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</row>
    <row r="428" customFormat="false" ht="15.75" hidden="false" customHeight="true" outlineLevel="0" collapsed="false">
      <c r="A428" s="19"/>
      <c r="B428" s="20"/>
      <c r="C428" s="21"/>
      <c r="D428" s="21"/>
      <c r="E428" s="14"/>
      <c r="F428" s="22"/>
      <c r="G428" s="23"/>
      <c r="H428" s="2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</row>
    <row r="429" customFormat="false" ht="15.75" hidden="false" customHeight="true" outlineLevel="0" collapsed="false">
      <c r="A429" s="19"/>
      <c r="B429" s="20"/>
      <c r="C429" s="21"/>
      <c r="D429" s="21"/>
      <c r="E429" s="14"/>
      <c r="F429" s="22"/>
      <c r="G429" s="23"/>
      <c r="H429" s="2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</row>
    <row r="430" customFormat="false" ht="15.75" hidden="false" customHeight="true" outlineLevel="0" collapsed="false">
      <c r="A430" s="19"/>
      <c r="B430" s="20"/>
      <c r="C430" s="21"/>
      <c r="D430" s="21"/>
      <c r="E430" s="14"/>
      <c r="F430" s="22"/>
      <c r="G430" s="23"/>
      <c r="H430" s="2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</row>
    <row r="431" customFormat="false" ht="15.75" hidden="false" customHeight="true" outlineLevel="0" collapsed="false">
      <c r="A431" s="19"/>
      <c r="B431" s="20"/>
      <c r="C431" s="21"/>
      <c r="D431" s="21"/>
      <c r="E431" s="14"/>
      <c r="F431" s="22"/>
      <c r="G431" s="23"/>
      <c r="H431" s="2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</row>
    <row r="432" customFormat="false" ht="15.75" hidden="false" customHeight="true" outlineLevel="0" collapsed="false">
      <c r="A432" s="19"/>
      <c r="B432" s="20"/>
      <c r="C432" s="21"/>
      <c r="D432" s="21"/>
      <c r="E432" s="14"/>
      <c r="F432" s="22"/>
      <c r="G432" s="23"/>
      <c r="H432" s="2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</row>
    <row r="433" customFormat="false" ht="15.75" hidden="false" customHeight="true" outlineLevel="0" collapsed="false">
      <c r="A433" s="19"/>
      <c r="B433" s="20"/>
      <c r="C433" s="21"/>
      <c r="D433" s="21"/>
      <c r="E433" s="14"/>
      <c r="F433" s="22"/>
      <c r="G433" s="23"/>
      <c r="H433" s="2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</row>
    <row r="434" customFormat="false" ht="15.75" hidden="false" customHeight="true" outlineLevel="0" collapsed="false">
      <c r="A434" s="19"/>
      <c r="B434" s="20"/>
      <c r="C434" s="21"/>
      <c r="D434" s="21"/>
      <c r="E434" s="14"/>
      <c r="F434" s="22"/>
      <c r="G434" s="23"/>
      <c r="H434" s="2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</row>
    <row r="435" customFormat="false" ht="15.75" hidden="false" customHeight="true" outlineLevel="0" collapsed="false">
      <c r="A435" s="19"/>
      <c r="B435" s="20"/>
      <c r="C435" s="21"/>
      <c r="D435" s="21"/>
      <c r="E435" s="14"/>
      <c r="F435" s="22"/>
      <c r="G435" s="23"/>
      <c r="H435" s="2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</row>
    <row r="436" customFormat="false" ht="15.75" hidden="false" customHeight="true" outlineLevel="0" collapsed="false">
      <c r="A436" s="19"/>
      <c r="B436" s="20"/>
      <c r="C436" s="21"/>
      <c r="D436" s="21"/>
      <c r="E436" s="14"/>
      <c r="F436" s="22"/>
      <c r="G436" s="23"/>
      <c r="H436" s="2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</row>
    <row r="437" customFormat="false" ht="15.75" hidden="false" customHeight="true" outlineLevel="0" collapsed="false">
      <c r="A437" s="19"/>
      <c r="B437" s="20"/>
      <c r="C437" s="21"/>
      <c r="D437" s="21"/>
      <c r="E437" s="14"/>
      <c r="F437" s="22"/>
      <c r="G437" s="23"/>
      <c r="H437" s="2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</row>
    <row r="438" customFormat="false" ht="15.75" hidden="false" customHeight="true" outlineLevel="0" collapsed="false">
      <c r="A438" s="19"/>
      <c r="B438" s="20"/>
      <c r="C438" s="21"/>
      <c r="D438" s="21"/>
      <c r="E438" s="14"/>
      <c r="F438" s="22"/>
      <c r="G438" s="23"/>
      <c r="H438" s="2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</row>
    <row r="439" customFormat="false" ht="15.75" hidden="false" customHeight="true" outlineLevel="0" collapsed="false">
      <c r="A439" s="19"/>
      <c r="B439" s="20"/>
      <c r="C439" s="21"/>
      <c r="D439" s="21"/>
      <c r="E439" s="14"/>
      <c r="F439" s="22"/>
      <c r="G439" s="23"/>
      <c r="H439" s="2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</row>
    <row r="440" customFormat="false" ht="15.75" hidden="false" customHeight="true" outlineLevel="0" collapsed="false">
      <c r="A440" s="19"/>
      <c r="B440" s="20"/>
      <c r="C440" s="21"/>
      <c r="D440" s="21"/>
      <c r="E440" s="14"/>
      <c r="F440" s="22"/>
      <c r="G440" s="23"/>
      <c r="H440" s="2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</row>
    <row r="441" customFormat="false" ht="15.75" hidden="false" customHeight="true" outlineLevel="0" collapsed="false">
      <c r="A441" s="19"/>
      <c r="B441" s="20"/>
      <c r="C441" s="21"/>
      <c r="D441" s="21"/>
      <c r="E441" s="14"/>
      <c r="F441" s="22"/>
      <c r="G441" s="23"/>
      <c r="H441" s="2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</row>
    <row r="442" customFormat="false" ht="15.75" hidden="false" customHeight="true" outlineLevel="0" collapsed="false">
      <c r="A442" s="19"/>
      <c r="B442" s="20"/>
      <c r="C442" s="21"/>
      <c r="D442" s="21"/>
      <c r="E442" s="14"/>
      <c r="F442" s="22"/>
      <c r="G442" s="23"/>
      <c r="H442" s="2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</row>
    <row r="443" customFormat="false" ht="15.75" hidden="false" customHeight="true" outlineLevel="0" collapsed="false">
      <c r="A443" s="19"/>
      <c r="B443" s="20"/>
      <c r="C443" s="21"/>
      <c r="D443" s="21"/>
      <c r="E443" s="14"/>
      <c r="F443" s="22"/>
      <c r="G443" s="23"/>
      <c r="H443" s="2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</row>
    <row r="444" customFormat="false" ht="15.75" hidden="false" customHeight="true" outlineLevel="0" collapsed="false">
      <c r="A444" s="19"/>
      <c r="B444" s="20"/>
      <c r="C444" s="21"/>
      <c r="D444" s="21"/>
      <c r="E444" s="14"/>
      <c r="F444" s="22"/>
      <c r="G444" s="23"/>
      <c r="H444" s="2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</row>
    <row r="445" customFormat="false" ht="15.75" hidden="false" customHeight="true" outlineLevel="0" collapsed="false">
      <c r="A445" s="19"/>
      <c r="B445" s="20"/>
      <c r="C445" s="21"/>
      <c r="D445" s="21"/>
      <c r="E445" s="14"/>
      <c r="F445" s="22"/>
      <c r="G445" s="23"/>
      <c r="H445" s="2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</row>
    <row r="446" customFormat="false" ht="15.75" hidden="false" customHeight="true" outlineLevel="0" collapsed="false">
      <c r="A446" s="19"/>
      <c r="B446" s="20"/>
      <c r="C446" s="21"/>
      <c r="D446" s="21"/>
      <c r="E446" s="14"/>
      <c r="F446" s="22"/>
      <c r="G446" s="23"/>
      <c r="H446" s="2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</row>
    <row r="447" customFormat="false" ht="15.75" hidden="false" customHeight="true" outlineLevel="0" collapsed="false">
      <c r="A447" s="19"/>
      <c r="B447" s="20"/>
      <c r="C447" s="21"/>
      <c r="D447" s="21"/>
      <c r="E447" s="14"/>
      <c r="F447" s="22"/>
      <c r="G447" s="23"/>
      <c r="H447" s="2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</row>
    <row r="448" customFormat="false" ht="15.75" hidden="false" customHeight="true" outlineLevel="0" collapsed="false">
      <c r="A448" s="19"/>
      <c r="B448" s="20"/>
      <c r="C448" s="21"/>
      <c r="D448" s="21"/>
      <c r="E448" s="14"/>
      <c r="F448" s="22"/>
      <c r="G448" s="23"/>
      <c r="H448" s="2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</row>
    <row r="449" customFormat="false" ht="15.75" hidden="false" customHeight="true" outlineLevel="0" collapsed="false">
      <c r="A449" s="19"/>
      <c r="B449" s="20"/>
      <c r="C449" s="21"/>
      <c r="D449" s="21"/>
      <c r="E449" s="14"/>
      <c r="F449" s="22"/>
      <c r="G449" s="23"/>
      <c r="H449" s="2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</row>
    <row r="450" customFormat="false" ht="15.75" hidden="false" customHeight="true" outlineLevel="0" collapsed="false">
      <c r="A450" s="19"/>
      <c r="B450" s="20"/>
      <c r="C450" s="21"/>
      <c r="D450" s="21"/>
      <c r="E450" s="14"/>
      <c r="F450" s="22"/>
      <c r="G450" s="23"/>
      <c r="H450" s="2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</row>
    <row r="451" customFormat="false" ht="15.75" hidden="false" customHeight="true" outlineLevel="0" collapsed="false">
      <c r="A451" s="19"/>
      <c r="B451" s="20"/>
      <c r="C451" s="21"/>
      <c r="D451" s="21"/>
      <c r="E451" s="14"/>
      <c r="F451" s="22"/>
      <c r="G451" s="23"/>
      <c r="H451" s="2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</row>
    <row r="452" customFormat="false" ht="15.75" hidden="false" customHeight="true" outlineLevel="0" collapsed="false">
      <c r="A452" s="19"/>
      <c r="B452" s="20"/>
      <c r="C452" s="21"/>
      <c r="D452" s="21"/>
      <c r="E452" s="14"/>
      <c r="F452" s="22"/>
      <c r="G452" s="23"/>
      <c r="H452" s="2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</row>
    <row r="453" customFormat="false" ht="15.75" hidden="false" customHeight="true" outlineLevel="0" collapsed="false">
      <c r="A453" s="19"/>
      <c r="B453" s="20"/>
      <c r="C453" s="21"/>
      <c r="D453" s="21"/>
      <c r="E453" s="14"/>
      <c r="F453" s="22"/>
      <c r="G453" s="23"/>
      <c r="H453" s="2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</row>
    <row r="454" customFormat="false" ht="15.75" hidden="false" customHeight="true" outlineLevel="0" collapsed="false">
      <c r="A454" s="19"/>
      <c r="B454" s="20"/>
      <c r="C454" s="21"/>
      <c r="D454" s="21"/>
      <c r="E454" s="14"/>
      <c r="F454" s="22"/>
      <c r="G454" s="23"/>
      <c r="H454" s="2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</row>
    <row r="455" customFormat="false" ht="15.75" hidden="false" customHeight="true" outlineLevel="0" collapsed="false">
      <c r="A455" s="19"/>
      <c r="B455" s="20"/>
      <c r="C455" s="21"/>
      <c r="D455" s="21"/>
      <c r="E455" s="14"/>
      <c r="F455" s="22"/>
      <c r="G455" s="23"/>
      <c r="H455" s="2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</row>
    <row r="456" customFormat="false" ht="15.75" hidden="false" customHeight="true" outlineLevel="0" collapsed="false">
      <c r="A456" s="19"/>
      <c r="B456" s="20"/>
      <c r="C456" s="21"/>
      <c r="D456" s="21"/>
      <c r="E456" s="14"/>
      <c r="F456" s="22"/>
      <c r="G456" s="23"/>
      <c r="H456" s="2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</row>
    <row r="457" customFormat="false" ht="15.75" hidden="false" customHeight="true" outlineLevel="0" collapsed="false">
      <c r="A457" s="19"/>
      <c r="B457" s="20"/>
      <c r="C457" s="21"/>
      <c r="D457" s="21"/>
      <c r="E457" s="14"/>
      <c r="F457" s="22"/>
      <c r="G457" s="23"/>
      <c r="H457" s="2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</row>
    <row r="458" customFormat="false" ht="15.75" hidden="false" customHeight="true" outlineLevel="0" collapsed="false">
      <c r="A458" s="19"/>
      <c r="B458" s="20"/>
      <c r="C458" s="21"/>
      <c r="D458" s="21"/>
      <c r="E458" s="14"/>
      <c r="F458" s="22"/>
      <c r="G458" s="23"/>
      <c r="H458" s="2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</row>
    <row r="459" customFormat="false" ht="15.75" hidden="false" customHeight="true" outlineLevel="0" collapsed="false">
      <c r="A459" s="19"/>
      <c r="B459" s="20"/>
      <c r="C459" s="21"/>
      <c r="D459" s="21"/>
      <c r="E459" s="14"/>
      <c r="F459" s="22"/>
      <c r="G459" s="23"/>
      <c r="H459" s="2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</row>
    <row r="460" customFormat="false" ht="15.75" hidden="false" customHeight="true" outlineLevel="0" collapsed="false">
      <c r="A460" s="19"/>
      <c r="B460" s="20"/>
      <c r="C460" s="21"/>
      <c r="D460" s="21"/>
      <c r="E460" s="14"/>
      <c r="F460" s="22"/>
      <c r="G460" s="23"/>
      <c r="H460" s="2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</row>
    <row r="461" customFormat="false" ht="15.75" hidden="false" customHeight="true" outlineLevel="0" collapsed="false">
      <c r="A461" s="19"/>
      <c r="B461" s="20"/>
      <c r="C461" s="21"/>
      <c r="D461" s="21"/>
      <c r="E461" s="14"/>
      <c r="F461" s="22"/>
      <c r="G461" s="23"/>
      <c r="H461" s="2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</row>
    <row r="462" customFormat="false" ht="15.75" hidden="false" customHeight="true" outlineLevel="0" collapsed="false">
      <c r="A462" s="19"/>
      <c r="B462" s="20"/>
      <c r="C462" s="21"/>
      <c r="D462" s="21"/>
      <c r="E462" s="14"/>
      <c r="F462" s="22"/>
      <c r="G462" s="23"/>
      <c r="H462" s="2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</row>
    <row r="463" customFormat="false" ht="15.75" hidden="false" customHeight="true" outlineLevel="0" collapsed="false">
      <c r="A463" s="19"/>
      <c r="B463" s="20"/>
      <c r="C463" s="21"/>
      <c r="D463" s="21"/>
      <c r="E463" s="14"/>
      <c r="F463" s="22"/>
      <c r="G463" s="23"/>
      <c r="H463" s="2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</row>
    <row r="464" customFormat="false" ht="15.75" hidden="false" customHeight="true" outlineLevel="0" collapsed="false">
      <c r="A464" s="19"/>
      <c r="B464" s="20"/>
      <c r="C464" s="21"/>
      <c r="D464" s="21"/>
      <c r="E464" s="14"/>
      <c r="F464" s="22"/>
      <c r="G464" s="23"/>
      <c r="H464" s="2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</row>
    <row r="465" customFormat="false" ht="15.75" hidden="false" customHeight="true" outlineLevel="0" collapsed="false">
      <c r="A465" s="19"/>
      <c r="B465" s="20"/>
      <c r="C465" s="21"/>
      <c r="D465" s="21"/>
      <c r="E465" s="14"/>
      <c r="F465" s="22"/>
      <c r="G465" s="23"/>
      <c r="H465" s="2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</row>
    <row r="466" customFormat="false" ht="15.75" hidden="false" customHeight="true" outlineLevel="0" collapsed="false">
      <c r="A466" s="19"/>
      <c r="B466" s="20"/>
      <c r="C466" s="21"/>
      <c r="D466" s="21"/>
      <c r="E466" s="14"/>
      <c r="F466" s="22"/>
      <c r="G466" s="23"/>
      <c r="H466" s="2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</row>
    <row r="467" customFormat="false" ht="15.75" hidden="false" customHeight="true" outlineLevel="0" collapsed="false">
      <c r="A467" s="19"/>
      <c r="B467" s="20"/>
      <c r="C467" s="21"/>
      <c r="D467" s="21"/>
      <c r="E467" s="14"/>
      <c r="F467" s="22"/>
      <c r="G467" s="23"/>
      <c r="H467" s="2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</row>
    <row r="468" customFormat="false" ht="15.75" hidden="false" customHeight="true" outlineLevel="0" collapsed="false">
      <c r="A468" s="19"/>
      <c r="B468" s="20"/>
      <c r="C468" s="21"/>
      <c r="D468" s="21"/>
      <c r="E468" s="14"/>
      <c r="F468" s="22"/>
      <c r="G468" s="23"/>
      <c r="H468" s="2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</row>
    <row r="469" customFormat="false" ht="15.75" hidden="false" customHeight="true" outlineLevel="0" collapsed="false">
      <c r="A469" s="19"/>
      <c r="B469" s="20"/>
      <c r="C469" s="21"/>
      <c r="D469" s="21"/>
      <c r="E469" s="14"/>
      <c r="F469" s="22"/>
      <c r="G469" s="23"/>
      <c r="H469" s="2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</row>
    <row r="470" customFormat="false" ht="15.75" hidden="false" customHeight="true" outlineLevel="0" collapsed="false">
      <c r="A470" s="19"/>
      <c r="B470" s="20"/>
      <c r="C470" s="21"/>
      <c r="D470" s="21"/>
      <c r="E470" s="14"/>
      <c r="F470" s="22"/>
      <c r="G470" s="23"/>
      <c r="H470" s="2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</row>
    <row r="471" customFormat="false" ht="15.75" hidden="false" customHeight="true" outlineLevel="0" collapsed="false">
      <c r="A471" s="19"/>
      <c r="B471" s="20"/>
      <c r="C471" s="21"/>
      <c r="D471" s="21"/>
      <c r="E471" s="14"/>
      <c r="F471" s="22"/>
      <c r="G471" s="23"/>
      <c r="H471" s="2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</row>
    <row r="472" customFormat="false" ht="15.75" hidden="false" customHeight="true" outlineLevel="0" collapsed="false">
      <c r="A472" s="19"/>
      <c r="B472" s="20"/>
      <c r="C472" s="21"/>
      <c r="D472" s="21"/>
      <c r="E472" s="14"/>
      <c r="F472" s="22"/>
      <c r="G472" s="23"/>
      <c r="H472" s="2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</row>
    <row r="473" customFormat="false" ht="15.75" hidden="false" customHeight="true" outlineLevel="0" collapsed="false">
      <c r="A473" s="19"/>
      <c r="B473" s="20"/>
      <c r="C473" s="21"/>
      <c r="D473" s="21"/>
      <c r="E473" s="14"/>
      <c r="F473" s="22"/>
      <c r="G473" s="23"/>
      <c r="H473" s="2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</row>
    <row r="474" customFormat="false" ht="15.75" hidden="false" customHeight="true" outlineLevel="0" collapsed="false">
      <c r="A474" s="19"/>
      <c r="B474" s="20"/>
      <c r="C474" s="21"/>
      <c r="D474" s="21"/>
      <c r="E474" s="14"/>
      <c r="F474" s="22"/>
      <c r="G474" s="23"/>
      <c r="H474" s="2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</row>
    <row r="475" customFormat="false" ht="15.75" hidden="false" customHeight="true" outlineLevel="0" collapsed="false">
      <c r="A475" s="19"/>
      <c r="B475" s="20"/>
      <c r="C475" s="21"/>
      <c r="D475" s="21"/>
      <c r="E475" s="14"/>
      <c r="F475" s="22"/>
      <c r="G475" s="23"/>
      <c r="H475" s="2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</row>
    <row r="476" customFormat="false" ht="15.75" hidden="false" customHeight="true" outlineLevel="0" collapsed="false">
      <c r="A476" s="19"/>
      <c r="B476" s="20"/>
      <c r="C476" s="21"/>
      <c r="D476" s="21"/>
      <c r="E476" s="14"/>
      <c r="F476" s="22"/>
      <c r="G476" s="23"/>
      <c r="H476" s="2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</row>
    <row r="477" customFormat="false" ht="15.75" hidden="false" customHeight="true" outlineLevel="0" collapsed="false">
      <c r="A477" s="19"/>
      <c r="B477" s="20"/>
      <c r="C477" s="21"/>
      <c r="D477" s="21"/>
      <c r="E477" s="14"/>
      <c r="F477" s="22"/>
      <c r="G477" s="23"/>
      <c r="H477" s="2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</row>
    <row r="478" customFormat="false" ht="15.75" hidden="false" customHeight="true" outlineLevel="0" collapsed="false">
      <c r="A478" s="19"/>
      <c r="B478" s="20"/>
      <c r="C478" s="21"/>
      <c r="D478" s="21"/>
      <c r="E478" s="14"/>
      <c r="F478" s="22"/>
      <c r="G478" s="23"/>
      <c r="H478" s="2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</row>
    <row r="479" customFormat="false" ht="15.75" hidden="false" customHeight="true" outlineLevel="0" collapsed="false">
      <c r="A479" s="19"/>
      <c r="B479" s="20"/>
      <c r="C479" s="21"/>
      <c r="D479" s="21"/>
      <c r="E479" s="14"/>
      <c r="F479" s="22"/>
      <c r="G479" s="23"/>
      <c r="H479" s="2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</row>
    <row r="480" customFormat="false" ht="15.75" hidden="false" customHeight="true" outlineLevel="0" collapsed="false">
      <c r="A480" s="19"/>
      <c r="B480" s="20"/>
      <c r="C480" s="21"/>
      <c r="D480" s="21"/>
      <c r="E480" s="14"/>
      <c r="F480" s="22"/>
      <c r="G480" s="23"/>
      <c r="H480" s="2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</row>
    <row r="481" customFormat="false" ht="15.75" hidden="false" customHeight="true" outlineLevel="0" collapsed="false">
      <c r="A481" s="19"/>
      <c r="B481" s="20"/>
      <c r="C481" s="21"/>
      <c r="D481" s="21"/>
      <c r="E481" s="14"/>
      <c r="F481" s="22"/>
      <c r="G481" s="23"/>
      <c r="H481" s="2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</row>
    <row r="482" customFormat="false" ht="15.75" hidden="false" customHeight="true" outlineLevel="0" collapsed="false">
      <c r="A482" s="19"/>
      <c r="B482" s="20"/>
      <c r="C482" s="21"/>
      <c r="D482" s="21"/>
      <c r="E482" s="14"/>
      <c r="F482" s="22"/>
      <c r="G482" s="23"/>
      <c r="H482" s="2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</row>
    <row r="483" customFormat="false" ht="15.75" hidden="false" customHeight="true" outlineLevel="0" collapsed="false">
      <c r="A483" s="19"/>
      <c r="B483" s="20"/>
      <c r="C483" s="21"/>
      <c r="D483" s="21"/>
      <c r="E483" s="14"/>
      <c r="F483" s="22"/>
      <c r="G483" s="23"/>
      <c r="H483" s="2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</row>
    <row r="484" customFormat="false" ht="15.75" hidden="false" customHeight="true" outlineLevel="0" collapsed="false">
      <c r="A484" s="19"/>
      <c r="B484" s="20"/>
      <c r="C484" s="21"/>
      <c r="D484" s="21"/>
      <c r="E484" s="14"/>
      <c r="F484" s="22"/>
      <c r="G484" s="23"/>
      <c r="H484" s="2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</row>
    <row r="485" customFormat="false" ht="15.75" hidden="false" customHeight="true" outlineLevel="0" collapsed="false">
      <c r="A485" s="19"/>
      <c r="B485" s="20"/>
      <c r="C485" s="21"/>
      <c r="D485" s="21"/>
      <c r="E485" s="14"/>
      <c r="F485" s="22"/>
      <c r="G485" s="23"/>
      <c r="H485" s="2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</row>
    <row r="486" customFormat="false" ht="15.75" hidden="false" customHeight="true" outlineLevel="0" collapsed="false">
      <c r="A486" s="19"/>
      <c r="B486" s="20"/>
      <c r="C486" s="21"/>
      <c r="D486" s="21"/>
      <c r="E486" s="14"/>
      <c r="F486" s="22"/>
      <c r="G486" s="23"/>
      <c r="H486" s="2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</row>
    <row r="487" customFormat="false" ht="15.75" hidden="false" customHeight="true" outlineLevel="0" collapsed="false">
      <c r="A487" s="19"/>
      <c r="B487" s="20"/>
      <c r="C487" s="21"/>
      <c r="D487" s="21"/>
      <c r="E487" s="14"/>
      <c r="F487" s="22"/>
      <c r="G487" s="23"/>
      <c r="H487" s="2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</row>
    <row r="488" customFormat="false" ht="15.75" hidden="false" customHeight="true" outlineLevel="0" collapsed="false">
      <c r="A488" s="19"/>
      <c r="B488" s="20"/>
      <c r="C488" s="21"/>
      <c r="D488" s="21"/>
      <c r="E488" s="14"/>
      <c r="F488" s="22"/>
      <c r="G488" s="23"/>
      <c r="H488" s="2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</row>
    <row r="489" customFormat="false" ht="15.75" hidden="false" customHeight="true" outlineLevel="0" collapsed="false">
      <c r="A489" s="19"/>
      <c r="B489" s="20"/>
      <c r="C489" s="21"/>
      <c r="D489" s="21"/>
      <c r="E489" s="14"/>
      <c r="F489" s="22"/>
      <c r="G489" s="23"/>
      <c r="H489" s="2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</row>
    <row r="490" customFormat="false" ht="15.75" hidden="false" customHeight="true" outlineLevel="0" collapsed="false">
      <c r="A490" s="19"/>
      <c r="B490" s="20"/>
      <c r="C490" s="21"/>
      <c r="D490" s="21"/>
      <c r="E490" s="14"/>
      <c r="F490" s="22"/>
      <c r="G490" s="23"/>
      <c r="H490" s="2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</row>
    <row r="491" customFormat="false" ht="15.75" hidden="false" customHeight="true" outlineLevel="0" collapsed="false">
      <c r="A491" s="19"/>
      <c r="B491" s="20"/>
      <c r="C491" s="21"/>
      <c r="D491" s="21"/>
      <c r="E491" s="14"/>
      <c r="F491" s="22"/>
      <c r="G491" s="23"/>
      <c r="H491" s="2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</row>
    <row r="492" customFormat="false" ht="15.75" hidden="false" customHeight="true" outlineLevel="0" collapsed="false">
      <c r="A492" s="19"/>
      <c r="B492" s="20"/>
      <c r="C492" s="21"/>
      <c r="D492" s="21"/>
      <c r="E492" s="14"/>
      <c r="F492" s="22"/>
      <c r="G492" s="23"/>
      <c r="H492" s="2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</row>
    <row r="493" customFormat="false" ht="15.75" hidden="false" customHeight="true" outlineLevel="0" collapsed="false">
      <c r="A493" s="19"/>
      <c r="B493" s="20"/>
      <c r="C493" s="21"/>
      <c r="D493" s="21"/>
      <c r="E493" s="14"/>
      <c r="F493" s="22"/>
      <c r="G493" s="23"/>
      <c r="H493" s="2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</row>
    <row r="494" customFormat="false" ht="15.75" hidden="false" customHeight="true" outlineLevel="0" collapsed="false">
      <c r="A494" s="19"/>
      <c r="B494" s="20"/>
      <c r="C494" s="21"/>
      <c r="D494" s="21"/>
      <c r="E494" s="14"/>
      <c r="F494" s="22"/>
      <c r="G494" s="23"/>
      <c r="H494" s="2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</row>
    <row r="495" customFormat="false" ht="15.75" hidden="false" customHeight="true" outlineLevel="0" collapsed="false">
      <c r="A495" s="19"/>
      <c r="B495" s="20"/>
      <c r="C495" s="21"/>
      <c r="D495" s="21"/>
      <c r="E495" s="14"/>
      <c r="F495" s="22"/>
      <c r="G495" s="23"/>
      <c r="H495" s="2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</row>
    <row r="496" customFormat="false" ht="15.75" hidden="false" customHeight="true" outlineLevel="0" collapsed="false">
      <c r="A496" s="19"/>
      <c r="B496" s="20"/>
      <c r="C496" s="21"/>
      <c r="D496" s="21"/>
      <c r="E496" s="14"/>
      <c r="F496" s="22"/>
      <c r="G496" s="23"/>
      <c r="H496" s="2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</row>
    <row r="497" customFormat="false" ht="15.75" hidden="false" customHeight="true" outlineLevel="0" collapsed="false">
      <c r="A497" s="19"/>
      <c r="B497" s="20"/>
      <c r="C497" s="21"/>
      <c r="D497" s="21"/>
      <c r="E497" s="14"/>
      <c r="F497" s="22"/>
      <c r="G497" s="23"/>
      <c r="H497" s="2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</row>
    <row r="498" customFormat="false" ht="15.75" hidden="false" customHeight="true" outlineLevel="0" collapsed="false">
      <c r="A498" s="19"/>
      <c r="B498" s="20"/>
      <c r="C498" s="21"/>
      <c r="D498" s="21"/>
      <c r="E498" s="14"/>
      <c r="F498" s="22"/>
      <c r="G498" s="23"/>
      <c r="H498" s="2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</row>
    <row r="499" customFormat="false" ht="15.75" hidden="false" customHeight="true" outlineLevel="0" collapsed="false">
      <c r="A499" s="19"/>
      <c r="B499" s="20"/>
      <c r="C499" s="21"/>
      <c r="D499" s="21"/>
      <c r="E499" s="14"/>
      <c r="F499" s="22"/>
      <c r="G499" s="23"/>
      <c r="H499" s="2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</row>
    <row r="500" customFormat="false" ht="15.75" hidden="false" customHeight="true" outlineLevel="0" collapsed="false">
      <c r="A500" s="19"/>
      <c r="B500" s="20"/>
      <c r="C500" s="21"/>
      <c r="D500" s="21"/>
      <c r="E500" s="14"/>
      <c r="F500" s="22"/>
      <c r="G500" s="23"/>
      <c r="H500" s="2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</row>
    <row r="501" customFormat="false" ht="15.75" hidden="false" customHeight="true" outlineLevel="0" collapsed="false">
      <c r="A501" s="19"/>
      <c r="B501" s="20"/>
      <c r="C501" s="21"/>
      <c r="D501" s="21"/>
      <c r="E501" s="14"/>
      <c r="F501" s="22"/>
      <c r="G501" s="23"/>
      <c r="H501" s="2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</row>
    <row r="502" customFormat="false" ht="15.75" hidden="false" customHeight="true" outlineLevel="0" collapsed="false">
      <c r="A502" s="19"/>
      <c r="B502" s="20"/>
      <c r="C502" s="21"/>
      <c r="D502" s="21"/>
      <c r="E502" s="14"/>
      <c r="F502" s="22"/>
      <c r="G502" s="23"/>
      <c r="H502" s="2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</row>
    <row r="503" customFormat="false" ht="15.75" hidden="false" customHeight="true" outlineLevel="0" collapsed="false">
      <c r="A503" s="19"/>
      <c r="B503" s="20"/>
      <c r="C503" s="21"/>
      <c r="D503" s="21"/>
      <c r="E503" s="14"/>
      <c r="F503" s="22"/>
      <c r="G503" s="23"/>
      <c r="H503" s="2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</row>
    <row r="504" customFormat="false" ht="15.75" hidden="false" customHeight="true" outlineLevel="0" collapsed="false">
      <c r="A504" s="19"/>
      <c r="B504" s="20"/>
      <c r="C504" s="21"/>
      <c r="D504" s="21"/>
      <c r="E504" s="14"/>
      <c r="F504" s="22"/>
      <c r="G504" s="23"/>
      <c r="H504" s="2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</row>
    <row r="505" customFormat="false" ht="15.75" hidden="false" customHeight="true" outlineLevel="0" collapsed="false">
      <c r="A505" s="19"/>
      <c r="B505" s="20"/>
      <c r="C505" s="21"/>
      <c r="D505" s="21"/>
      <c r="E505" s="14"/>
      <c r="F505" s="22"/>
      <c r="G505" s="23"/>
      <c r="H505" s="2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</row>
    <row r="506" customFormat="false" ht="15.75" hidden="false" customHeight="true" outlineLevel="0" collapsed="false">
      <c r="A506" s="19"/>
      <c r="B506" s="20"/>
      <c r="C506" s="21"/>
      <c r="D506" s="21"/>
      <c r="E506" s="14"/>
      <c r="F506" s="22"/>
      <c r="G506" s="23"/>
      <c r="H506" s="2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</row>
    <row r="507" customFormat="false" ht="15.75" hidden="false" customHeight="true" outlineLevel="0" collapsed="false">
      <c r="A507" s="19"/>
      <c r="B507" s="20"/>
      <c r="C507" s="21"/>
      <c r="D507" s="21"/>
      <c r="E507" s="14"/>
      <c r="F507" s="22"/>
      <c r="G507" s="23"/>
      <c r="H507" s="2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</row>
    <row r="508" customFormat="false" ht="15.75" hidden="false" customHeight="true" outlineLevel="0" collapsed="false">
      <c r="A508" s="19"/>
      <c r="B508" s="20"/>
      <c r="C508" s="21"/>
      <c r="D508" s="21"/>
      <c r="E508" s="14"/>
      <c r="F508" s="22"/>
      <c r="G508" s="23"/>
      <c r="H508" s="2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</row>
    <row r="509" customFormat="false" ht="15.75" hidden="false" customHeight="true" outlineLevel="0" collapsed="false">
      <c r="A509" s="19"/>
      <c r="B509" s="20"/>
      <c r="C509" s="21"/>
      <c r="D509" s="21"/>
      <c r="E509" s="14"/>
      <c r="F509" s="22"/>
      <c r="G509" s="23"/>
      <c r="H509" s="2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</row>
    <row r="510" customFormat="false" ht="15.75" hidden="false" customHeight="true" outlineLevel="0" collapsed="false">
      <c r="A510" s="19"/>
      <c r="B510" s="20"/>
      <c r="C510" s="21"/>
      <c r="D510" s="21"/>
      <c r="E510" s="14"/>
      <c r="F510" s="22"/>
      <c r="G510" s="23"/>
      <c r="H510" s="2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</row>
    <row r="511" customFormat="false" ht="15.75" hidden="false" customHeight="true" outlineLevel="0" collapsed="false">
      <c r="A511" s="19"/>
      <c r="B511" s="20"/>
      <c r="C511" s="21"/>
      <c r="D511" s="21"/>
      <c r="E511" s="14"/>
      <c r="F511" s="22"/>
      <c r="G511" s="23"/>
      <c r="H511" s="2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</row>
    <row r="512" customFormat="false" ht="15.75" hidden="false" customHeight="true" outlineLevel="0" collapsed="false">
      <c r="A512" s="19"/>
      <c r="B512" s="20"/>
      <c r="C512" s="21"/>
      <c r="D512" s="21"/>
      <c r="E512" s="14"/>
      <c r="F512" s="22"/>
      <c r="G512" s="23"/>
      <c r="H512" s="2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</row>
    <row r="513" customFormat="false" ht="15.75" hidden="false" customHeight="true" outlineLevel="0" collapsed="false">
      <c r="A513" s="19"/>
      <c r="B513" s="20"/>
      <c r="C513" s="21"/>
      <c r="D513" s="21"/>
      <c r="E513" s="14"/>
      <c r="F513" s="22"/>
      <c r="G513" s="23"/>
      <c r="H513" s="2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</row>
    <row r="514" customFormat="false" ht="15.75" hidden="false" customHeight="true" outlineLevel="0" collapsed="false">
      <c r="A514" s="19"/>
      <c r="B514" s="20"/>
      <c r="C514" s="21"/>
      <c r="D514" s="21"/>
      <c r="E514" s="14"/>
      <c r="F514" s="22"/>
      <c r="G514" s="23"/>
      <c r="H514" s="2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</row>
    <row r="515" customFormat="false" ht="15.75" hidden="false" customHeight="true" outlineLevel="0" collapsed="false">
      <c r="A515" s="19"/>
      <c r="B515" s="20"/>
      <c r="C515" s="21"/>
      <c r="D515" s="21"/>
      <c r="E515" s="14"/>
      <c r="F515" s="22"/>
      <c r="G515" s="23"/>
      <c r="H515" s="2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</row>
    <row r="516" customFormat="false" ht="15.75" hidden="false" customHeight="true" outlineLevel="0" collapsed="false">
      <c r="A516" s="19"/>
      <c r="B516" s="20"/>
      <c r="C516" s="21"/>
      <c r="D516" s="21"/>
      <c r="E516" s="14"/>
      <c r="F516" s="22"/>
      <c r="G516" s="23"/>
      <c r="H516" s="2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</row>
    <row r="517" customFormat="false" ht="15.75" hidden="false" customHeight="true" outlineLevel="0" collapsed="false">
      <c r="A517" s="19"/>
      <c r="B517" s="20"/>
      <c r="C517" s="21"/>
      <c r="D517" s="21"/>
      <c r="E517" s="14"/>
      <c r="F517" s="22"/>
      <c r="G517" s="23"/>
      <c r="H517" s="2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</row>
    <row r="518" customFormat="false" ht="15.75" hidden="false" customHeight="true" outlineLevel="0" collapsed="false">
      <c r="A518" s="19"/>
      <c r="B518" s="20"/>
      <c r="C518" s="21"/>
      <c r="D518" s="21"/>
      <c r="E518" s="14"/>
      <c r="F518" s="22"/>
      <c r="G518" s="23"/>
      <c r="H518" s="2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</row>
    <row r="519" customFormat="false" ht="15.75" hidden="false" customHeight="true" outlineLevel="0" collapsed="false">
      <c r="A519" s="19"/>
      <c r="B519" s="20"/>
      <c r="C519" s="21"/>
      <c r="D519" s="21"/>
      <c r="E519" s="14"/>
      <c r="F519" s="22"/>
      <c r="G519" s="23"/>
      <c r="H519" s="2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</row>
    <row r="520" customFormat="false" ht="15.75" hidden="false" customHeight="true" outlineLevel="0" collapsed="false">
      <c r="A520" s="19"/>
      <c r="B520" s="20"/>
      <c r="C520" s="21"/>
      <c r="D520" s="21"/>
      <c r="E520" s="14"/>
      <c r="F520" s="22"/>
      <c r="G520" s="23"/>
      <c r="H520" s="2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</row>
    <row r="521" customFormat="false" ht="15.75" hidden="false" customHeight="true" outlineLevel="0" collapsed="false">
      <c r="A521" s="19"/>
      <c r="B521" s="20"/>
      <c r="C521" s="21"/>
      <c r="D521" s="21"/>
      <c r="E521" s="14"/>
      <c r="F521" s="22"/>
      <c r="G521" s="23"/>
      <c r="H521" s="2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</row>
    <row r="522" customFormat="false" ht="15.75" hidden="false" customHeight="true" outlineLevel="0" collapsed="false">
      <c r="A522" s="19"/>
      <c r="B522" s="20"/>
      <c r="C522" s="21"/>
      <c r="D522" s="21"/>
      <c r="E522" s="14"/>
      <c r="F522" s="22"/>
      <c r="G522" s="23"/>
      <c r="H522" s="2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</row>
    <row r="523" customFormat="false" ht="15.75" hidden="false" customHeight="true" outlineLevel="0" collapsed="false">
      <c r="A523" s="19"/>
      <c r="B523" s="20"/>
      <c r="C523" s="21"/>
      <c r="D523" s="21"/>
      <c r="E523" s="14"/>
      <c r="F523" s="22"/>
      <c r="G523" s="23"/>
      <c r="H523" s="2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</row>
    <row r="524" customFormat="false" ht="15.75" hidden="false" customHeight="true" outlineLevel="0" collapsed="false">
      <c r="A524" s="19"/>
      <c r="B524" s="20"/>
      <c r="C524" s="21"/>
      <c r="D524" s="21"/>
      <c r="E524" s="14"/>
      <c r="F524" s="22"/>
      <c r="G524" s="23"/>
      <c r="H524" s="2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</row>
    <row r="525" customFormat="false" ht="15.75" hidden="false" customHeight="true" outlineLevel="0" collapsed="false">
      <c r="A525" s="19"/>
      <c r="B525" s="20"/>
      <c r="C525" s="21"/>
      <c r="D525" s="21"/>
      <c r="E525" s="14"/>
      <c r="F525" s="22"/>
      <c r="G525" s="23"/>
      <c r="H525" s="2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</row>
    <row r="526" customFormat="false" ht="15.75" hidden="false" customHeight="true" outlineLevel="0" collapsed="false">
      <c r="A526" s="19"/>
      <c r="B526" s="20"/>
      <c r="C526" s="21"/>
      <c r="D526" s="21"/>
      <c r="E526" s="14"/>
      <c r="F526" s="22"/>
      <c r="G526" s="23"/>
      <c r="H526" s="2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</row>
    <row r="527" customFormat="false" ht="15.75" hidden="false" customHeight="true" outlineLevel="0" collapsed="false">
      <c r="A527" s="19"/>
      <c r="B527" s="20"/>
      <c r="C527" s="21"/>
      <c r="D527" s="21"/>
      <c r="E527" s="14"/>
      <c r="F527" s="22"/>
      <c r="G527" s="23"/>
      <c r="H527" s="2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</row>
    <row r="528" customFormat="false" ht="15.75" hidden="false" customHeight="true" outlineLevel="0" collapsed="false">
      <c r="A528" s="19"/>
      <c r="B528" s="20"/>
      <c r="C528" s="21"/>
      <c r="D528" s="21"/>
      <c r="E528" s="14"/>
      <c r="F528" s="22"/>
      <c r="G528" s="23"/>
      <c r="H528" s="2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</row>
    <row r="529" customFormat="false" ht="15.75" hidden="false" customHeight="true" outlineLevel="0" collapsed="false">
      <c r="A529" s="19"/>
      <c r="B529" s="20"/>
      <c r="C529" s="21"/>
      <c r="D529" s="21"/>
      <c r="E529" s="14"/>
      <c r="F529" s="22"/>
      <c r="G529" s="23"/>
      <c r="H529" s="2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</row>
    <row r="530" customFormat="false" ht="15.75" hidden="false" customHeight="true" outlineLevel="0" collapsed="false">
      <c r="A530" s="19"/>
      <c r="B530" s="20"/>
      <c r="C530" s="21"/>
      <c r="D530" s="21"/>
      <c r="E530" s="14"/>
      <c r="F530" s="22"/>
      <c r="G530" s="23"/>
      <c r="H530" s="2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</row>
    <row r="531" customFormat="false" ht="15.75" hidden="false" customHeight="true" outlineLevel="0" collapsed="false">
      <c r="A531" s="19"/>
      <c r="B531" s="20"/>
      <c r="C531" s="21"/>
      <c r="D531" s="21"/>
      <c r="E531" s="14"/>
      <c r="F531" s="22"/>
      <c r="G531" s="23"/>
      <c r="H531" s="2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</row>
    <row r="532" customFormat="false" ht="15.75" hidden="false" customHeight="true" outlineLevel="0" collapsed="false">
      <c r="A532" s="19"/>
      <c r="B532" s="20"/>
      <c r="C532" s="21"/>
      <c r="D532" s="21"/>
      <c r="E532" s="14"/>
      <c r="F532" s="22"/>
      <c r="G532" s="23"/>
      <c r="H532" s="2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</row>
    <row r="533" customFormat="false" ht="15.75" hidden="false" customHeight="true" outlineLevel="0" collapsed="false">
      <c r="A533" s="19"/>
      <c r="B533" s="20"/>
      <c r="C533" s="21"/>
      <c r="D533" s="21"/>
      <c r="E533" s="14"/>
      <c r="F533" s="22"/>
      <c r="G533" s="23"/>
      <c r="H533" s="2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</row>
    <row r="534" customFormat="false" ht="15.75" hidden="false" customHeight="true" outlineLevel="0" collapsed="false">
      <c r="A534" s="19"/>
      <c r="B534" s="20"/>
      <c r="C534" s="21"/>
      <c r="D534" s="21"/>
      <c r="E534" s="14"/>
      <c r="F534" s="22"/>
      <c r="G534" s="23"/>
      <c r="H534" s="2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</row>
    <row r="535" customFormat="false" ht="15.75" hidden="false" customHeight="true" outlineLevel="0" collapsed="false">
      <c r="A535" s="19"/>
      <c r="B535" s="20"/>
      <c r="C535" s="21"/>
      <c r="D535" s="21"/>
      <c r="E535" s="14"/>
      <c r="F535" s="22"/>
      <c r="G535" s="23"/>
      <c r="H535" s="2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</row>
    <row r="536" customFormat="false" ht="15.75" hidden="false" customHeight="true" outlineLevel="0" collapsed="false">
      <c r="A536" s="19"/>
      <c r="B536" s="20"/>
      <c r="C536" s="21"/>
      <c r="D536" s="21"/>
      <c r="E536" s="14"/>
      <c r="F536" s="22"/>
      <c r="G536" s="23"/>
      <c r="H536" s="2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</row>
    <row r="537" customFormat="false" ht="15.75" hidden="false" customHeight="true" outlineLevel="0" collapsed="false">
      <c r="A537" s="19"/>
      <c r="B537" s="20"/>
      <c r="C537" s="21"/>
      <c r="D537" s="21"/>
      <c r="E537" s="14"/>
      <c r="F537" s="22"/>
      <c r="G537" s="23"/>
      <c r="H537" s="2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</row>
    <row r="538" customFormat="false" ht="15.75" hidden="false" customHeight="true" outlineLevel="0" collapsed="false">
      <c r="A538" s="19"/>
      <c r="B538" s="20"/>
      <c r="C538" s="21"/>
      <c r="D538" s="21"/>
      <c r="E538" s="14"/>
      <c r="F538" s="22"/>
      <c r="G538" s="23"/>
      <c r="H538" s="2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</row>
    <row r="539" customFormat="false" ht="15.75" hidden="false" customHeight="true" outlineLevel="0" collapsed="false">
      <c r="A539" s="19"/>
      <c r="B539" s="20"/>
      <c r="C539" s="21"/>
      <c r="D539" s="21"/>
      <c r="E539" s="14"/>
      <c r="F539" s="22"/>
      <c r="G539" s="23"/>
      <c r="H539" s="2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</row>
    <row r="540" customFormat="false" ht="15.75" hidden="false" customHeight="true" outlineLevel="0" collapsed="false">
      <c r="A540" s="19"/>
      <c r="B540" s="20"/>
      <c r="C540" s="21"/>
      <c r="D540" s="21"/>
      <c r="E540" s="14"/>
      <c r="F540" s="22"/>
      <c r="G540" s="23"/>
      <c r="H540" s="2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</row>
    <row r="541" customFormat="false" ht="15.75" hidden="false" customHeight="true" outlineLevel="0" collapsed="false">
      <c r="A541" s="19"/>
      <c r="B541" s="20"/>
      <c r="C541" s="21"/>
      <c r="D541" s="21"/>
      <c r="E541" s="14"/>
      <c r="F541" s="22"/>
      <c r="G541" s="23"/>
      <c r="H541" s="2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</row>
    <row r="542" customFormat="false" ht="15.75" hidden="false" customHeight="true" outlineLevel="0" collapsed="false">
      <c r="A542" s="19"/>
      <c r="B542" s="20"/>
      <c r="C542" s="21"/>
      <c r="D542" s="21"/>
      <c r="E542" s="14"/>
      <c r="F542" s="22"/>
      <c r="G542" s="23"/>
      <c r="H542" s="2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</row>
    <row r="543" customFormat="false" ht="15.75" hidden="false" customHeight="true" outlineLevel="0" collapsed="false">
      <c r="A543" s="19"/>
      <c r="B543" s="20"/>
      <c r="C543" s="21"/>
      <c r="D543" s="21"/>
      <c r="E543" s="14"/>
      <c r="F543" s="22"/>
      <c r="G543" s="23"/>
      <c r="H543" s="2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</row>
    <row r="544" customFormat="false" ht="15.75" hidden="false" customHeight="true" outlineLevel="0" collapsed="false">
      <c r="A544" s="19"/>
      <c r="B544" s="20"/>
      <c r="C544" s="21"/>
      <c r="D544" s="21"/>
      <c r="E544" s="14"/>
      <c r="F544" s="22"/>
      <c r="G544" s="23"/>
      <c r="H544" s="2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</row>
    <row r="545" customFormat="false" ht="15.75" hidden="false" customHeight="true" outlineLevel="0" collapsed="false">
      <c r="A545" s="19"/>
      <c r="B545" s="20"/>
      <c r="C545" s="21"/>
      <c r="D545" s="21"/>
      <c r="E545" s="14"/>
      <c r="F545" s="22"/>
      <c r="G545" s="23"/>
      <c r="H545" s="2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</row>
    <row r="546" customFormat="false" ht="15.75" hidden="false" customHeight="true" outlineLevel="0" collapsed="false">
      <c r="A546" s="19"/>
      <c r="B546" s="20"/>
      <c r="C546" s="21"/>
      <c r="D546" s="21"/>
      <c r="E546" s="14"/>
      <c r="F546" s="22"/>
      <c r="G546" s="23"/>
      <c r="H546" s="2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</row>
    <row r="547" customFormat="false" ht="15.75" hidden="false" customHeight="true" outlineLevel="0" collapsed="false">
      <c r="A547" s="19"/>
      <c r="B547" s="20"/>
      <c r="C547" s="21"/>
      <c r="D547" s="21"/>
      <c r="E547" s="14"/>
      <c r="F547" s="22"/>
      <c r="G547" s="23"/>
      <c r="H547" s="2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</row>
    <row r="548" customFormat="false" ht="15.75" hidden="false" customHeight="true" outlineLevel="0" collapsed="false">
      <c r="A548" s="19"/>
      <c r="B548" s="20"/>
      <c r="C548" s="21"/>
      <c r="D548" s="21"/>
      <c r="E548" s="14"/>
      <c r="F548" s="22"/>
      <c r="G548" s="23"/>
      <c r="H548" s="2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</row>
    <row r="549" customFormat="false" ht="15.75" hidden="false" customHeight="true" outlineLevel="0" collapsed="false">
      <c r="A549" s="19"/>
      <c r="B549" s="20"/>
      <c r="C549" s="21"/>
      <c r="D549" s="21"/>
      <c r="E549" s="14"/>
      <c r="F549" s="22"/>
      <c r="G549" s="23"/>
      <c r="H549" s="2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</row>
    <row r="550" customFormat="false" ht="15.75" hidden="false" customHeight="true" outlineLevel="0" collapsed="false">
      <c r="A550" s="19"/>
      <c r="B550" s="20"/>
      <c r="C550" s="21"/>
      <c r="D550" s="21"/>
      <c r="E550" s="14"/>
      <c r="F550" s="22"/>
      <c r="G550" s="23"/>
      <c r="H550" s="2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</row>
    <row r="551" customFormat="false" ht="15.75" hidden="false" customHeight="true" outlineLevel="0" collapsed="false">
      <c r="A551" s="19"/>
      <c r="B551" s="20"/>
      <c r="C551" s="21"/>
      <c r="D551" s="21"/>
      <c r="E551" s="14"/>
      <c r="F551" s="22"/>
      <c r="G551" s="23"/>
      <c r="H551" s="2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</row>
    <row r="552" customFormat="false" ht="15.75" hidden="false" customHeight="true" outlineLevel="0" collapsed="false">
      <c r="A552" s="19"/>
      <c r="B552" s="20"/>
      <c r="C552" s="21"/>
      <c r="D552" s="21"/>
      <c r="E552" s="14"/>
      <c r="F552" s="22"/>
      <c r="G552" s="23"/>
      <c r="H552" s="2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</row>
    <row r="553" customFormat="false" ht="15.75" hidden="false" customHeight="true" outlineLevel="0" collapsed="false">
      <c r="A553" s="19"/>
      <c r="B553" s="20"/>
      <c r="C553" s="21"/>
      <c r="D553" s="21"/>
      <c r="E553" s="14"/>
      <c r="F553" s="22"/>
      <c r="G553" s="23"/>
      <c r="H553" s="2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</row>
    <row r="554" customFormat="false" ht="15.75" hidden="false" customHeight="true" outlineLevel="0" collapsed="false">
      <c r="A554" s="19"/>
      <c r="B554" s="20"/>
      <c r="C554" s="21"/>
      <c r="D554" s="21"/>
      <c r="E554" s="14"/>
      <c r="F554" s="22"/>
      <c r="G554" s="23"/>
      <c r="H554" s="2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</row>
    <row r="555" customFormat="false" ht="15.75" hidden="false" customHeight="true" outlineLevel="0" collapsed="false">
      <c r="A555" s="19"/>
      <c r="B555" s="20"/>
      <c r="C555" s="21"/>
      <c r="D555" s="21"/>
      <c r="E555" s="14"/>
      <c r="F555" s="22"/>
      <c r="G555" s="23"/>
      <c r="H555" s="2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</row>
    <row r="556" customFormat="false" ht="15.75" hidden="false" customHeight="true" outlineLevel="0" collapsed="false">
      <c r="A556" s="19"/>
      <c r="B556" s="20"/>
      <c r="C556" s="21"/>
      <c r="D556" s="21"/>
      <c r="E556" s="14"/>
      <c r="F556" s="22"/>
      <c r="G556" s="23"/>
      <c r="H556" s="2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</row>
    <row r="557" customFormat="false" ht="15.75" hidden="false" customHeight="true" outlineLevel="0" collapsed="false">
      <c r="A557" s="19"/>
      <c r="B557" s="20"/>
      <c r="C557" s="21"/>
      <c r="D557" s="21"/>
      <c r="E557" s="14"/>
      <c r="F557" s="22"/>
      <c r="G557" s="23"/>
      <c r="H557" s="2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</row>
    <row r="558" customFormat="false" ht="15.75" hidden="false" customHeight="true" outlineLevel="0" collapsed="false">
      <c r="A558" s="19"/>
      <c r="B558" s="20"/>
      <c r="C558" s="21"/>
      <c r="D558" s="21"/>
      <c r="E558" s="14"/>
      <c r="F558" s="22"/>
      <c r="G558" s="23"/>
      <c r="H558" s="2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</row>
    <row r="559" customFormat="false" ht="15.75" hidden="false" customHeight="true" outlineLevel="0" collapsed="false">
      <c r="A559" s="19"/>
      <c r="B559" s="20"/>
      <c r="C559" s="21"/>
      <c r="D559" s="21"/>
      <c r="E559" s="14"/>
      <c r="F559" s="22"/>
      <c r="G559" s="23"/>
      <c r="H559" s="2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</row>
    <row r="560" customFormat="false" ht="15.75" hidden="false" customHeight="true" outlineLevel="0" collapsed="false">
      <c r="A560" s="19"/>
      <c r="B560" s="20"/>
      <c r="C560" s="21"/>
      <c r="D560" s="21"/>
      <c r="E560" s="14"/>
      <c r="F560" s="22"/>
      <c r="G560" s="23"/>
      <c r="H560" s="2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</row>
    <row r="561" customFormat="false" ht="15.75" hidden="false" customHeight="true" outlineLevel="0" collapsed="false">
      <c r="A561" s="19"/>
      <c r="B561" s="20"/>
      <c r="C561" s="21"/>
      <c r="D561" s="21"/>
      <c r="E561" s="14"/>
      <c r="F561" s="22"/>
      <c r="G561" s="23"/>
      <c r="H561" s="2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</row>
    <row r="562" customFormat="false" ht="15.75" hidden="false" customHeight="true" outlineLevel="0" collapsed="false">
      <c r="A562" s="19"/>
      <c r="B562" s="20"/>
      <c r="C562" s="21"/>
      <c r="D562" s="21"/>
      <c r="E562" s="14"/>
      <c r="F562" s="22"/>
      <c r="G562" s="23"/>
      <c r="H562" s="2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</row>
    <row r="563" customFormat="false" ht="15.75" hidden="false" customHeight="true" outlineLevel="0" collapsed="false">
      <c r="A563" s="19"/>
      <c r="B563" s="20"/>
      <c r="C563" s="21"/>
      <c r="D563" s="21"/>
      <c r="E563" s="14"/>
      <c r="F563" s="22"/>
      <c r="G563" s="23"/>
      <c r="H563" s="2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</row>
    <row r="564" customFormat="false" ht="15.75" hidden="false" customHeight="true" outlineLevel="0" collapsed="false">
      <c r="A564" s="19"/>
      <c r="B564" s="20"/>
      <c r="C564" s="21"/>
      <c r="D564" s="21"/>
      <c r="E564" s="14"/>
      <c r="F564" s="22"/>
      <c r="G564" s="23"/>
      <c r="H564" s="2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</row>
    <row r="565" customFormat="false" ht="15.75" hidden="false" customHeight="true" outlineLevel="0" collapsed="false">
      <c r="A565" s="19"/>
      <c r="B565" s="20"/>
      <c r="C565" s="21"/>
      <c r="D565" s="21"/>
      <c r="E565" s="14"/>
      <c r="F565" s="22"/>
      <c r="G565" s="23"/>
      <c r="H565" s="2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</row>
    <row r="566" customFormat="false" ht="15.75" hidden="false" customHeight="true" outlineLevel="0" collapsed="false">
      <c r="A566" s="19"/>
      <c r="B566" s="20"/>
      <c r="C566" s="21"/>
      <c r="D566" s="21"/>
      <c r="E566" s="14"/>
      <c r="F566" s="22"/>
      <c r="G566" s="23"/>
      <c r="H566" s="2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</row>
    <row r="567" customFormat="false" ht="15.75" hidden="false" customHeight="true" outlineLevel="0" collapsed="false">
      <c r="A567" s="19"/>
      <c r="B567" s="20"/>
      <c r="C567" s="21"/>
      <c r="D567" s="21"/>
      <c r="E567" s="14"/>
      <c r="F567" s="22"/>
      <c r="G567" s="23"/>
      <c r="H567" s="2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</row>
    <row r="568" customFormat="false" ht="15.75" hidden="false" customHeight="true" outlineLevel="0" collapsed="false">
      <c r="A568" s="19"/>
      <c r="B568" s="20"/>
      <c r="C568" s="21"/>
      <c r="D568" s="21"/>
      <c r="E568" s="14"/>
      <c r="F568" s="22"/>
      <c r="G568" s="23"/>
      <c r="H568" s="2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</row>
    <row r="569" customFormat="false" ht="15.75" hidden="false" customHeight="true" outlineLevel="0" collapsed="false">
      <c r="A569" s="19"/>
      <c r="B569" s="20"/>
      <c r="C569" s="21"/>
      <c r="D569" s="21"/>
      <c r="E569" s="14"/>
      <c r="F569" s="22"/>
      <c r="G569" s="23"/>
      <c r="H569" s="2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</row>
    <row r="570" customFormat="false" ht="15.75" hidden="false" customHeight="true" outlineLevel="0" collapsed="false">
      <c r="A570" s="19"/>
      <c r="B570" s="20"/>
      <c r="C570" s="21"/>
      <c r="D570" s="21"/>
      <c r="E570" s="14"/>
      <c r="F570" s="22"/>
      <c r="G570" s="23"/>
      <c r="H570" s="2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</row>
    <row r="571" customFormat="false" ht="15.75" hidden="false" customHeight="true" outlineLevel="0" collapsed="false">
      <c r="A571" s="19"/>
      <c r="B571" s="20"/>
      <c r="C571" s="21"/>
      <c r="D571" s="21"/>
      <c r="E571" s="14"/>
      <c r="F571" s="22"/>
      <c r="G571" s="23"/>
      <c r="H571" s="2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</row>
    <row r="572" customFormat="false" ht="15.75" hidden="false" customHeight="true" outlineLevel="0" collapsed="false">
      <c r="A572" s="19"/>
      <c r="B572" s="20"/>
      <c r="C572" s="21"/>
      <c r="D572" s="21"/>
      <c r="E572" s="14"/>
      <c r="F572" s="22"/>
      <c r="G572" s="23"/>
      <c r="H572" s="2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</row>
    <row r="573" customFormat="false" ht="15.75" hidden="false" customHeight="true" outlineLevel="0" collapsed="false">
      <c r="A573" s="19"/>
      <c r="B573" s="20"/>
      <c r="C573" s="21"/>
      <c r="D573" s="21"/>
      <c r="E573" s="14"/>
      <c r="F573" s="22"/>
      <c r="G573" s="23"/>
      <c r="H573" s="2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</row>
    <row r="574" customFormat="false" ht="15.75" hidden="false" customHeight="true" outlineLevel="0" collapsed="false">
      <c r="A574" s="19"/>
      <c r="B574" s="20"/>
      <c r="C574" s="21"/>
      <c r="D574" s="21"/>
      <c r="E574" s="14"/>
      <c r="F574" s="22"/>
      <c r="G574" s="23"/>
      <c r="H574" s="2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</row>
    <row r="575" customFormat="false" ht="15.75" hidden="false" customHeight="true" outlineLevel="0" collapsed="false">
      <c r="A575" s="19"/>
      <c r="B575" s="20"/>
      <c r="C575" s="21"/>
      <c r="D575" s="21"/>
      <c r="E575" s="14"/>
      <c r="F575" s="22"/>
      <c r="G575" s="23"/>
      <c r="H575" s="2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</row>
    <row r="576" customFormat="false" ht="15.75" hidden="false" customHeight="true" outlineLevel="0" collapsed="false">
      <c r="A576" s="19"/>
      <c r="B576" s="20"/>
      <c r="C576" s="21"/>
      <c r="D576" s="21"/>
      <c r="E576" s="14"/>
      <c r="F576" s="22"/>
      <c r="G576" s="23"/>
      <c r="H576" s="2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</row>
    <row r="577" customFormat="false" ht="15.75" hidden="false" customHeight="true" outlineLevel="0" collapsed="false">
      <c r="A577" s="19"/>
      <c r="B577" s="20"/>
      <c r="C577" s="21"/>
      <c r="D577" s="21"/>
      <c r="E577" s="14"/>
      <c r="F577" s="22"/>
      <c r="G577" s="23"/>
      <c r="H577" s="2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</row>
    <row r="578" customFormat="false" ht="15.75" hidden="false" customHeight="true" outlineLevel="0" collapsed="false">
      <c r="A578" s="19"/>
      <c r="B578" s="20"/>
      <c r="C578" s="21"/>
      <c r="D578" s="21"/>
      <c r="E578" s="14"/>
      <c r="F578" s="22"/>
      <c r="G578" s="23"/>
      <c r="H578" s="2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</row>
    <row r="579" customFormat="false" ht="15.75" hidden="false" customHeight="true" outlineLevel="0" collapsed="false">
      <c r="A579" s="19"/>
      <c r="B579" s="20"/>
      <c r="C579" s="21"/>
      <c r="D579" s="21"/>
      <c r="E579" s="14"/>
      <c r="F579" s="22"/>
      <c r="G579" s="23"/>
      <c r="H579" s="2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</row>
    <row r="580" customFormat="false" ht="15.75" hidden="false" customHeight="true" outlineLevel="0" collapsed="false">
      <c r="A580" s="19"/>
      <c r="B580" s="20"/>
      <c r="C580" s="21"/>
      <c r="D580" s="21"/>
      <c r="E580" s="14"/>
      <c r="F580" s="22"/>
      <c r="G580" s="23"/>
      <c r="H580" s="2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</row>
    <row r="581" customFormat="false" ht="15.75" hidden="false" customHeight="true" outlineLevel="0" collapsed="false">
      <c r="A581" s="19"/>
      <c r="B581" s="20"/>
      <c r="C581" s="21"/>
      <c r="D581" s="21"/>
      <c r="E581" s="14"/>
      <c r="F581" s="22"/>
      <c r="G581" s="23"/>
      <c r="H581" s="2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</row>
    <row r="582" customFormat="false" ht="15.75" hidden="false" customHeight="true" outlineLevel="0" collapsed="false">
      <c r="A582" s="19"/>
      <c r="B582" s="20"/>
      <c r="C582" s="21"/>
      <c r="D582" s="21"/>
      <c r="E582" s="14"/>
      <c r="F582" s="22"/>
      <c r="G582" s="23"/>
      <c r="H582" s="2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</row>
    <row r="583" customFormat="false" ht="15.75" hidden="false" customHeight="true" outlineLevel="0" collapsed="false">
      <c r="A583" s="19"/>
      <c r="B583" s="20"/>
      <c r="C583" s="21"/>
      <c r="D583" s="21"/>
      <c r="E583" s="14"/>
      <c r="F583" s="22"/>
      <c r="G583" s="23"/>
      <c r="H583" s="2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</row>
    <row r="584" customFormat="false" ht="15.75" hidden="false" customHeight="true" outlineLevel="0" collapsed="false">
      <c r="A584" s="19"/>
      <c r="B584" s="20"/>
      <c r="C584" s="21"/>
      <c r="D584" s="21"/>
      <c r="E584" s="14"/>
      <c r="F584" s="22"/>
      <c r="G584" s="23"/>
      <c r="H584" s="2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</row>
    <row r="585" customFormat="false" ht="15.75" hidden="false" customHeight="true" outlineLevel="0" collapsed="false">
      <c r="A585" s="19"/>
      <c r="B585" s="20"/>
      <c r="C585" s="21"/>
      <c r="D585" s="21"/>
      <c r="E585" s="14"/>
      <c r="F585" s="22"/>
      <c r="G585" s="23"/>
      <c r="H585" s="2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</row>
    <row r="586" customFormat="false" ht="15.75" hidden="false" customHeight="true" outlineLevel="0" collapsed="false">
      <c r="A586" s="19"/>
      <c r="B586" s="20"/>
      <c r="C586" s="21"/>
      <c r="D586" s="21"/>
      <c r="E586" s="14"/>
      <c r="F586" s="22"/>
      <c r="G586" s="23"/>
      <c r="H586" s="2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</row>
    <row r="587" customFormat="false" ht="15.75" hidden="false" customHeight="true" outlineLevel="0" collapsed="false">
      <c r="A587" s="19"/>
      <c r="B587" s="20"/>
      <c r="C587" s="21"/>
      <c r="D587" s="21"/>
      <c r="E587" s="14"/>
      <c r="F587" s="22"/>
      <c r="G587" s="23"/>
      <c r="H587" s="2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</row>
    <row r="588" customFormat="false" ht="15.75" hidden="false" customHeight="true" outlineLevel="0" collapsed="false">
      <c r="A588" s="19"/>
      <c r="B588" s="20"/>
      <c r="C588" s="21"/>
      <c r="D588" s="21"/>
      <c r="E588" s="14"/>
      <c r="F588" s="22"/>
      <c r="G588" s="23"/>
      <c r="H588" s="2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</row>
    <row r="589" customFormat="false" ht="15.75" hidden="false" customHeight="true" outlineLevel="0" collapsed="false">
      <c r="A589" s="19"/>
      <c r="B589" s="20"/>
      <c r="C589" s="21"/>
      <c r="D589" s="21"/>
      <c r="E589" s="14"/>
      <c r="F589" s="22"/>
      <c r="G589" s="23"/>
      <c r="H589" s="2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</row>
    <row r="590" customFormat="false" ht="15.75" hidden="false" customHeight="true" outlineLevel="0" collapsed="false">
      <c r="A590" s="19"/>
      <c r="B590" s="20"/>
      <c r="C590" s="21"/>
      <c r="D590" s="21"/>
      <c r="E590" s="14"/>
      <c r="F590" s="22"/>
      <c r="G590" s="23"/>
      <c r="H590" s="2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</row>
    <row r="591" customFormat="false" ht="15.75" hidden="false" customHeight="true" outlineLevel="0" collapsed="false">
      <c r="A591" s="19"/>
      <c r="B591" s="20"/>
      <c r="C591" s="21"/>
      <c r="D591" s="21"/>
      <c r="E591" s="14"/>
      <c r="F591" s="22"/>
      <c r="G591" s="23"/>
      <c r="H591" s="2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</row>
    <row r="592" customFormat="false" ht="15.75" hidden="false" customHeight="true" outlineLevel="0" collapsed="false">
      <c r="A592" s="19"/>
      <c r="B592" s="20"/>
      <c r="C592" s="21"/>
      <c r="D592" s="21"/>
      <c r="E592" s="14"/>
      <c r="F592" s="22"/>
      <c r="G592" s="23"/>
      <c r="H592" s="2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</row>
    <row r="593" customFormat="false" ht="15.75" hidden="false" customHeight="true" outlineLevel="0" collapsed="false">
      <c r="A593" s="19"/>
      <c r="B593" s="20"/>
      <c r="C593" s="21"/>
      <c r="D593" s="21"/>
      <c r="E593" s="14"/>
      <c r="F593" s="22"/>
      <c r="G593" s="23"/>
      <c r="H593" s="2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</row>
    <row r="594" customFormat="false" ht="15.75" hidden="false" customHeight="true" outlineLevel="0" collapsed="false">
      <c r="A594" s="19"/>
      <c r="B594" s="20"/>
      <c r="C594" s="21"/>
      <c r="D594" s="21"/>
      <c r="E594" s="14"/>
      <c r="F594" s="22"/>
      <c r="G594" s="23"/>
      <c r="H594" s="2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</row>
    <row r="595" customFormat="false" ht="15.75" hidden="false" customHeight="true" outlineLevel="0" collapsed="false">
      <c r="A595" s="19"/>
      <c r="B595" s="20"/>
      <c r="C595" s="21"/>
      <c r="D595" s="21"/>
      <c r="E595" s="14"/>
      <c r="F595" s="22"/>
      <c r="G595" s="23"/>
      <c r="H595" s="2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</row>
    <row r="596" customFormat="false" ht="15.75" hidden="false" customHeight="true" outlineLevel="0" collapsed="false">
      <c r="A596" s="19"/>
      <c r="B596" s="20"/>
      <c r="C596" s="21"/>
      <c r="D596" s="21"/>
      <c r="E596" s="14"/>
      <c r="F596" s="22"/>
      <c r="G596" s="23"/>
      <c r="H596" s="2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</row>
    <row r="597" customFormat="false" ht="15.75" hidden="false" customHeight="true" outlineLevel="0" collapsed="false">
      <c r="A597" s="19"/>
      <c r="B597" s="20"/>
      <c r="C597" s="21"/>
      <c r="D597" s="21"/>
      <c r="E597" s="14"/>
      <c r="F597" s="22"/>
      <c r="G597" s="23"/>
      <c r="H597" s="2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</row>
    <row r="598" customFormat="false" ht="15.75" hidden="false" customHeight="true" outlineLevel="0" collapsed="false">
      <c r="A598" s="19"/>
      <c r="B598" s="20"/>
      <c r="C598" s="21"/>
      <c r="D598" s="21"/>
      <c r="E598" s="14"/>
      <c r="F598" s="22"/>
      <c r="G598" s="23"/>
      <c r="H598" s="2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</row>
    <row r="599" customFormat="false" ht="15.75" hidden="false" customHeight="true" outlineLevel="0" collapsed="false">
      <c r="A599" s="19"/>
      <c r="B599" s="20"/>
      <c r="C599" s="21"/>
      <c r="D599" s="21"/>
      <c r="E599" s="14"/>
      <c r="F599" s="22"/>
      <c r="G599" s="23"/>
      <c r="H599" s="2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</row>
    <row r="600" customFormat="false" ht="15.75" hidden="false" customHeight="true" outlineLevel="0" collapsed="false">
      <c r="A600" s="19"/>
      <c r="B600" s="20"/>
      <c r="C600" s="21"/>
      <c r="D600" s="21"/>
      <c r="E600" s="14"/>
      <c r="F600" s="22"/>
      <c r="G600" s="23"/>
      <c r="H600" s="2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</row>
    <row r="601" customFormat="false" ht="15.75" hidden="false" customHeight="true" outlineLevel="0" collapsed="false">
      <c r="A601" s="19"/>
      <c r="B601" s="20"/>
      <c r="C601" s="21"/>
      <c r="D601" s="21"/>
      <c r="E601" s="14"/>
      <c r="F601" s="22"/>
      <c r="G601" s="23"/>
      <c r="H601" s="2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</row>
    <row r="602" customFormat="false" ht="15.75" hidden="false" customHeight="true" outlineLevel="0" collapsed="false">
      <c r="A602" s="19"/>
      <c r="B602" s="20"/>
      <c r="C602" s="21"/>
      <c r="D602" s="21"/>
      <c r="E602" s="14"/>
      <c r="F602" s="22"/>
      <c r="G602" s="23"/>
      <c r="H602" s="2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</row>
    <row r="603" customFormat="false" ht="15.75" hidden="false" customHeight="true" outlineLevel="0" collapsed="false">
      <c r="A603" s="19"/>
      <c r="B603" s="20"/>
      <c r="C603" s="21"/>
      <c r="D603" s="21"/>
      <c r="E603" s="14"/>
      <c r="F603" s="22"/>
      <c r="G603" s="23"/>
      <c r="H603" s="2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</row>
    <row r="604" customFormat="false" ht="15.75" hidden="false" customHeight="true" outlineLevel="0" collapsed="false">
      <c r="A604" s="19"/>
      <c r="B604" s="20"/>
      <c r="C604" s="21"/>
      <c r="D604" s="21"/>
      <c r="E604" s="14"/>
      <c r="F604" s="22"/>
      <c r="G604" s="23"/>
      <c r="H604" s="2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</row>
    <row r="605" customFormat="false" ht="15.75" hidden="false" customHeight="true" outlineLevel="0" collapsed="false">
      <c r="A605" s="19"/>
      <c r="B605" s="20"/>
      <c r="C605" s="21"/>
      <c r="D605" s="21"/>
      <c r="E605" s="14"/>
      <c r="F605" s="22"/>
      <c r="G605" s="23"/>
      <c r="H605" s="2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</row>
    <row r="606" customFormat="false" ht="15.75" hidden="false" customHeight="true" outlineLevel="0" collapsed="false">
      <c r="A606" s="19"/>
      <c r="B606" s="20"/>
      <c r="C606" s="21"/>
      <c r="D606" s="21"/>
      <c r="E606" s="14"/>
      <c r="F606" s="22"/>
      <c r="G606" s="23"/>
      <c r="H606" s="2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</row>
    <row r="607" customFormat="false" ht="15.75" hidden="false" customHeight="true" outlineLevel="0" collapsed="false">
      <c r="A607" s="19"/>
      <c r="B607" s="20"/>
      <c r="C607" s="21"/>
      <c r="D607" s="21"/>
      <c r="E607" s="14"/>
      <c r="F607" s="22"/>
      <c r="G607" s="23"/>
      <c r="H607" s="2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</row>
    <row r="608" customFormat="false" ht="15.75" hidden="false" customHeight="true" outlineLevel="0" collapsed="false">
      <c r="A608" s="19"/>
      <c r="B608" s="20"/>
      <c r="C608" s="21"/>
      <c r="D608" s="21"/>
      <c r="E608" s="14"/>
      <c r="F608" s="22"/>
      <c r="G608" s="23"/>
      <c r="H608" s="2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</row>
    <row r="609" customFormat="false" ht="15.75" hidden="false" customHeight="true" outlineLevel="0" collapsed="false">
      <c r="A609" s="19"/>
      <c r="B609" s="20"/>
      <c r="C609" s="21"/>
      <c r="D609" s="21"/>
      <c r="E609" s="14"/>
      <c r="F609" s="22"/>
      <c r="G609" s="23"/>
      <c r="H609" s="2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</row>
    <row r="610" customFormat="false" ht="15.75" hidden="false" customHeight="true" outlineLevel="0" collapsed="false">
      <c r="A610" s="19"/>
      <c r="B610" s="20"/>
      <c r="C610" s="21"/>
      <c r="D610" s="21"/>
      <c r="E610" s="14"/>
      <c r="F610" s="22"/>
      <c r="G610" s="23"/>
      <c r="H610" s="2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</row>
    <row r="611" customFormat="false" ht="15.75" hidden="false" customHeight="true" outlineLevel="0" collapsed="false">
      <c r="A611" s="19"/>
      <c r="B611" s="20"/>
      <c r="C611" s="21"/>
      <c r="D611" s="21"/>
      <c r="E611" s="14"/>
      <c r="F611" s="22"/>
      <c r="G611" s="23"/>
      <c r="H611" s="2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</row>
    <row r="612" customFormat="false" ht="15.75" hidden="false" customHeight="true" outlineLevel="0" collapsed="false">
      <c r="A612" s="19"/>
      <c r="B612" s="20"/>
      <c r="C612" s="21"/>
      <c r="D612" s="21"/>
      <c r="E612" s="14"/>
      <c r="F612" s="22"/>
      <c r="G612" s="23"/>
      <c r="H612" s="2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</row>
    <row r="613" customFormat="false" ht="15.75" hidden="false" customHeight="true" outlineLevel="0" collapsed="false">
      <c r="A613" s="19"/>
      <c r="B613" s="20"/>
      <c r="C613" s="21"/>
      <c r="D613" s="21"/>
      <c r="E613" s="14"/>
      <c r="F613" s="22"/>
      <c r="G613" s="23"/>
      <c r="H613" s="2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</row>
    <row r="614" customFormat="false" ht="15.75" hidden="false" customHeight="true" outlineLevel="0" collapsed="false">
      <c r="A614" s="19"/>
      <c r="B614" s="20"/>
      <c r="C614" s="21"/>
      <c r="D614" s="21"/>
      <c r="E614" s="14"/>
      <c r="F614" s="22"/>
      <c r="G614" s="23"/>
      <c r="H614" s="2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</row>
    <row r="615" customFormat="false" ht="15.75" hidden="false" customHeight="true" outlineLevel="0" collapsed="false">
      <c r="A615" s="19"/>
      <c r="B615" s="20"/>
      <c r="C615" s="21"/>
      <c r="D615" s="21"/>
      <c r="E615" s="14"/>
      <c r="F615" s="22"/>
      <c r="G615" s="23"/>
      <c r="H615" s="2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</row>
    <row r="616" customFormat="false" ht="15.75" hidden="false" customHeight="true" outlineLevel="0" collapsed="false">
      <c r="A616" s="19"/>
      <c r="B616" s="20"/>
      <c r="C616" s="21"/>
      <c r="D616" s="21"/>
      <c r="E616" s="14"/>
      <c r="F616" s="22"/>
      <c r="G616" s="23"/>
      <c r="H616" s="2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</row>
    <row r="617" customFormat="false" ht="15.75" hidden="false" customHeight="true" outlineLevel="0" collapsed="false">
      <c r="A617" s="19"/>
      <c r="B617" s="20"/>
      <c r="C617" s="21"/>
      <c r="D617" s="21"/>
      <c r="E617" s="14"/>
      <c r="F617" s="22"/>
      <c r="G617" s="23"/>
      <c r="H617" s="2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</row>
    <row r="618" customFormat="false" ht="15.75" hidden="false" customHeight="true" outlineLevel="0" collapsed="false">
      <c r="A618" s="19"/>
      <c r="B618" s="20"/>
      <c r="C618" s="21"/>
      <c r="D618" s="21"/>
      <c r="E618" s="14"/>
      <c r="F618" s="22"/>
      <c r="G618" s="23"/>
      <c r="H618" s="2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</row>
    <row r="619" customFormat="false" ht="15.75" hidden="false" customHeight="true" outlineLevel="0" collapsed="false">
      <c r="A619" s="19"/>
      <c r="B619" s="20"/>
      <c r="C619" s="21"/>
      <c r="D619" s="21"/>
      <c r="E619" s="14"/>
      <c r="F619" s="22"/>
      <c r="G619" s="23"/>
      <c r="H619" s="2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</row>
    <row r="620" customFormat="false" ht="15.75" hidden="false" customHeight="true" outlineLevel="0" collapsed="false">
      <c r="A620" s="19"/>
      <c r="B620" s="20"/>
      <c r="C620" s="21"/>
      <c r="D620" s="21"/>
      <c r="E620" s="14"/>
      <c r="F620" s="22"/>
      <c r="G620" s="23"/>
      <c r="H620" s="2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</row>
    <row r="621" customFormat="false" ht="15.75" hidden="false" customHeight="true" outlineLevel="0" collapsed="false">
      <c r="A621" s="19"/>
      <c r="B621" s="20"/>
      <c r="C621" s="21"/>
      <c r="D621" s="21"/>
      <c r="E621" s="14"/>
      <c r="F621" s="22"/>
      <c r="G621" s="23"/>
      <c r="H621" s="2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</row>
    <row r="622" customFormat="false" ht="15.75" hidden="false" customHeight="true" outlineLevel="0" collapsed="false">
      <c r="A622" s="19"/>
      <c r="B622" s="20"/>
      <c r="C622" s="21"/>
      <c r="D622" s="21"/>
      <c r="E622" s="14"/>
      <c r="F622" s="22"/>
      <c r="G622" s="23"/>
      <c r="H622" s="2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</row>
    <row r="623" customFormat="false" ht="15.75" hidden="false" customHeight="true" outlineLevel="0" collapsed="false">
      <c r="A623" s="19"/>
      <c r="B623" s="20"/>
      <c r="C623" s="21"/>
      <c r="D623" s="21"/>
      <c r="E623" s="14"/>
      <c r="F623" s="22"/>
      <c r="G623" s="23"/>
      <c r="H623" s="2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</row>
    <row r="624" customFormat="false" ht="15.75" hidden="false" customHeight="true" outlineLevel="0" collapsed="false">
      <c r="A624" s="19"/>
      <c r="B624" s="20"/>
      <c r="C624" s="21"/>
      <c r="D624" s="21"/>
      <c r="E624" s="14"/>
      <c r="F624" s="22"/>
      <c r="G624" s="23"/>
      <c r="H624" s="2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</row>
    <row r="625" customFormat="false" ht="15.75" hidden="false" customHeight="true" outlineLevel="0" collapsed="false">
      <c r="A625" s="19"/>
      <c r="B625" s="20"/>
      <c r="C625" s="21"/>
      <c r="D625" s="21"/>
      <c r="E625" s="14"/>
      <c r="F625" s="22"/>
      <c r="G625" s="23"/>
      <c r="H625" s="2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</row>
    <row r="626" customFormat="false" ht="15.75" hidden="false" customHeight="true" outlineLevel="0" collapsed="false">
      <c r="A626" s="19"/>
      <c r="B626" s="20"/>
      <c r="C626" s="21"/>
      <c r="D626" s="21"/>
      <c r="E626" s="14"/>
      <c r="F626" s="22"/>
      <c r="G626" s="23"/>
      <c r="H626" s="2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</row>
    <row r="627" customFormat="false" ht="15.75" hidden="false" customHeight="true" outlineLevel="0" collapsed="false">
      <c r="A627" s="19"/>
      <c r="B627" s="20"/>
      <c r="C627" s="21"/>
      <c r="D627" s="21"/>
      <c r="E627" s="14"/>
      <c r="F627" s="22"/>
      <c r="G627" s="23"/>
      <c r="H627" s="2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</row>
    <row r="628" customFormat="false" ht="15.75" hidden="false" customHeight="true" outlineLevel="0" collapsed="false">
      <c r="A628" s="19"/>
      <c r="B628" s="20"/>
      <c r="C628" s="21"/>
      <c r="D628" s="21"/>
      <c r="E628" s="14"/>
      <c r="F628" s="22"/>
      <c r="G628" s="23"/>
      <c r="H628" s="2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</row>
    <row r="629" customFormat="false" ht="15.75" hidden="false" customHeight="true" outlineLevel="0" collapsed="false">
      <c r="A629" s="19"/>
      <c r="B629" s="20"/>
      <c r="C629" s="21"/>
      <c r="D629" s="21"/>
      <c r="E629" s="14"/>
      <c r="F629" s="22"/>
      <c r="G629" s="23"/>
      <c r="H629" s="2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</row>
    <row r="630" customFormat="false" ht="15.75" hidden="false" customHeight="true" outlineLevel="0" collapsed="false">
      <c r="A630" s="19"/>
      <c r="B630" s="20"/>
      <c r="C630" s="21"/>
      <c r="D630" s="21"/>
      <c r="E630" s="14"/>
      <c r="F630" s="22"/>
      <c r="G630" s="23"/>
      <c r="H630" s="2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</row>
    <row r="631" customFormat="false" ht="15.75" hidden="false" customHeight="true" outlineLevel="0" collapsed="false">
      <c r="A631" s="19"/>
      <c r="B631" s="20"/>
      <c r="C631" s="21"/>
      <c r="D631" s="21"/>
      <c r="E631" s="14"/>
      <c r="F631" s="22"/>
      <c r="G631" s="23"/>
      <c r="H631" s="2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</row>
    <row r="632" customFormat="false" ht="15.75" hidden="false" customHeight="true" outlineLevel="0" collapsed="false">
      <c r="A632" s="19"/>
      <c r="B632" s="20"/>
      <c r="C632" s="21"/>
      <c r="D632" s="21"/>
      <c r="E632" s="14"/>
      <c r="F632" s="22"/>
      <c r="G632" s="23"/>
      <c r="H632" s="2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</row>
    <row r="633" customFormat="false" ht="15.75" hidden="false" customHeight="true" outlineLevel="0" collapsed="false">
      <c r="A633" s="19"/>
      <c r="B633" s="20"/>
      <c r="C633" s="21"/>
      <c r="D633" s="21"/>
      <c r="E633" s="14"/>
      <c r="F633" s="22"/>
      <c r="G633" s="23"/>
      <c r="H633" s="2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</row>
    <row r="634" customFormat="false" ht="15.75" hidden="false" customHeight="true" outlineLevel="0" collapsed="false">
      <c r="A634" s="19"/>
      <c r="B634" s="20"/>
      <c r="C634" s="21"/>
      <c r="D634" s="21"/>
      <c r="E634" s="14"/>
      <c r="F634" s="22"/>
      <c r="G634" s="23"/>
      <c r="H634" s="2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</row>
    <row r="635" customFormat="false" ht="15.75" hidden="false" customHeight="true" outlineLevel="0" collapsed="false">
      <c r="A635" s="19"/>
      <c r="B635" s="20"/>
      <c r="C635" s="21"/>
      <c r="D635" s="21"/>
      <c r="E635" s="14"/>
      <c r="F635" s="22"/>
      <c r="G635" s="23"/>
      <c r="H635" s="2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</row>
    <row r="636" customFormat="false" ht="15.75" hidden="false" customHeight="true" outlineLevel="0" collapsed="false">
      <c r="A636" s="19"/>
      <c r="B636" s="20"/>
      <c r="C636" s="21"/>
      <c r="D636" s="21"/>
      <c r="E636" s="14"/>
      <c r="F636" s="22"/>
      <c r="G636" s="23"/>
      <c r="H636" s="2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</row>
    <row r="637" customFormat="false" ht="15.75" hidden="false" customHeight="true" outlineLevel="0" collapsed="false">
      <c r="A637" s="19"/>
      <c r="B637" s="20"/>
      <c r="C637" s="21"/>
      <c r="D637" s="21"/>
      <c r="E637" s="14"/>
      <c r="F637" s="22"/>
      <c r="G637" s="23"/>
      <c r="H637" s="2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</row>
    <row r="638" customFormat="false" ht="15.75" hidden="false" customHeight="true" outlineLevel="0" collapsed="false">
      <c r="A638" s="19"/>
      <c r="B638" s="20"/>
      <c r="C638" s="21"/>
      <c r="D638" s="21"/>
      <c r="E638" s="14"/>
      <c r="F638" s="22"/>
      <c r="G638" s="23"/>
      <c r="H638" s="2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</row>
    <row r="639" customFormat="false" ht="15.75" hidden="false" customHeight="true" outlineLevel="0" collapsed="false">
      <c r="A639" s="19"/>
      <c r="B639" s="20"/>
      <c r="C639" s="21"/>
      <c r="D639" s="21"/>
      <c r="E639" s="14"/>
      <c r="F639" s="22"/>
      <c r="G639" s="23"/>
      <c r="H639" s="2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</row>
    <row r="640" customFormat="false" ht="15.75" hidden="false" customHeight="true" outlineLevel="0" collapsed="false">
      <c r="A640" s="19"/>
      <c r="B640" s="20"/>
      <c r="C640" s="21"/>
      <c r="D640" s="21"/>
      <c r="E640" s="14"/>
      <c r="F640" s="22"/>
      <c r="G640" s="23"/>
      <c r="H640" s="2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</row>
    <row r="641" customFormat="false" ht="15.75" hidden="false" customHeight="true" outlineLevel="0" collapsed="false">
      <c r="A641" s="19"/>
      <c r="B641" s="20"/>
      <c r="C641" s="21"/>
      <c r="D641" s="21"/>
      <c r="E641" s="14"/>
      <c r="F641" s="22"/>
      <c r="G641" s="23"/>
      <c r="H641" s="2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</row>
    <row r="642" customFormat="false" ht="15.75" hidden="false" customHeight="true" outlineLevel="0" collapsed="false">
      <c r="A642" s="19"/>
      <c r="B642" s="20"/>
      <c r="C642" s="21"/>
      <c r="D642" s="21"/>
      <c r="E642" s="14"/>
      <c r="F642" s="22"/>
      <c r="G642" s="23"/>
      <c r="H642" s="2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</row>
    <row r="643" customFormat="false" ht="15.75" hidden="false" customHeight="true" outlineLevel="0" collapsed="false">
      <c r="A643" s="19"/>
      <c r="B643" s="20"/>
      <c r="C643" s="21"/>
      <c r="D643" s="21"/>
      <c r="E643" s="14"/>
      <c r="F643" s="22"/>
      <c r="G643" s="23"/>
      <c r="H643" s="2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</row>
    <row r="644" customFormat="false" ht="15.75" hidden="false" customHeight="true" outlineLevel="0" collapsed="false">
      <c r="A644" s="19"/>
      <c r="B644" s="20"/>
      <c r="C644" s="21"/>
      <c r="D644" s="21"/>
      <c r="E644" s="14"/>
      <c r="F644" s="22"/>
      <c r="G644" s="23"/>
      <c r="H644" s="2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</row>
    <row r="645" customFormat="false" ht="15.75" hidden="false" customHeight="true" outlineLevel="0" collapsed="false">
      <c r="A645" s="19"/>
      <c r="B645" s="20"/>
      <c r="C645" s="21"/>
      <c r="D645" s="21"/>
      <c r="E645" s="14"/>
      <c r="F645" s="22"/>
      <c r="G645" s="23"/>
      <c r="H645" s="2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</row>
    <row r="646" customFormat="false" ht="15.75" hidden="false" customHeight="true" outlineLevel="0" collapsed="false">
      <c r="A646" s="19"/>
      <c r="B646" s="20"/>
      <c r="C646" s="21"/>
      <c r="D646" s="21"/>
      <c r="E646" s="14"/>
      <c r="F646" s="22"/>
      <c r="G646" s="23"/>
      <c r="H646" s="2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</row>
    <row r="647" customFormat="false" ht="15.75" hidden="false" customHeight="true" outlineLevel="0" collapsed="false">
      <c r="A647" s="19"/>
      <c r="B647" s="20"/>
      <c r="C647" s="21"/>
      <c r="D647" s="21"/>
      <c r="E647" s="14"/>
      <c r="F647" s="22"/>
      <c r="G647" s="23"/>
      <c r="H647" s="2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</row>
    <row r="648" customFormat="false" ht="15.75" hidden="false" customHeight="true" outlineLevel="0" collapsed="false">
      <c r="A648" s="19"/>
      <c r="B648" s="20"/>
      <c r="C648" s="21"/>
      <c r="D648" s="21"/>
      <c r="E648" s="14"/>
      <c r="F648" s="22"/>
      <c r="G648" s="23"/>
      <c r="H648" s="2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</row>
    <row r="649" customFormat="false" ht="15.75" hidden="false" customHeight="true" outlineLevel="0" collapsed="false">
      <c r="A649" s="19"/>
      <c r="B649" s="20"/>
      <c r="C649" s="21"/>
      <c r="D649" s="21"/>
      <c r="E649" s="14"/>
      <c r="F649" s="22"/>
      <c r="G649" s="23"/>
      <c r="H649" s="2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</row>
    <row r="650" customFormat="false" ht="15.75" hidden="false" customHeight="true" outlineLevel="0" collapsed="false">
      <c r="A650" s="19"/>
      <c r="B650" s="20"/>
      <c r="C650" s="21"/>
      <c r="D650" s="21"/>
      <c r="E650" s="14"/>
      <c r="F650" s="22"/>
      <c r="G650" s="23"/>
      <c r="H650" s="2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</row>
    <row r="651" customFormat="false" ht="15.75" hidden="false" customHeight="true" outlineLevel="0" collapsed="false">
      <c r="A651" s="19"/>
      <c r="B651" s="20"/>
      <c r="C651" s="21"/>
      <c r="D651" s="21"/>
      <c r="E651" s="14"/>
      <c r="F651" s="22"/>
      <c r="G651" s="23"/>
      <c r="H651" s="2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</row>
    <row r="652" customFormat="false" ht="15.75" hidden="false" customHeight="true" outlineLevel="0" collapsed="false">
      <c r="A652" s="19"/>
      <c r="B652" s="20"/>
      <c r="C652" s="21"/>
      <c r="D652" s="21"/>
      <c r="E652" s="14"/>
      <c r="F652" s="22"/>
      <c r="G652" s="23"/>
      <c r="H652" s="2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</row>
    <row r="653" customFormat="false" ht="15.75" hidden="false" customHeight="true" outlineLevel="0" collapsed="false">
      <c r="A653" s="19"/>
      <c r="B653" s="20"/>
      <c r="C653" s="21"/>
      <c r="D653" s="21"/>
      <c r="E653" s="14"/>
      <c r="F653" s="22"/>
      <c r="G653" s="23"/>
      <c r="H653" s="2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</row>
    <row r="654" customFormat="false" ht="15.75" hidden="false" customHeight="true" outlineLevel="0" collapsed="false">
      <c r="A654" s="19"/>
      <c r="B654" s="20"/>
      <c r="C654" s="21"/>
      <c r="D654" s="21"/>
      <c r="E654" s="14"/>
      <c r="F654" s="22"/>
      <c r="G654" s="23"/>
      <c r="H654" s="2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</row>
    <row r="655" customFormat="false" ht="15.75" hidden="false" customHeight="true" outlineLevel="0" collapsed="false">
      <c r="A655" s="19"/>
      <c r="B655" s="20"/>
      <c r="C655" s="21"/>
      <c r="D655" s="21"/>
      <c r="E655" s="14"/>
      <c r="F655" s="22"/>
      <c r="G655" s="23"/>
      <c r="H655" s="2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</row>
    <row r="656" customFormat="false" ht="15.75" hidden="false" customHeight="true" outlineLevel="0" collapsed="false">
      <c r="A656" s="19"/>
      <c r="B656" s="20"/>
      <c r="C656" s="21"/>
      <c r="D656" s="21"/>
      <c r="E656" s="14"/>
      <c r="F656" s="22"/>
      <c r="G656" s="23"/>
      <c r="H656" s="2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</row>
    <row r="657" customFormat="false" ht="15.75" hidden="false" customHeight="true" outlineLevel="0" collapsed="false">
      <c r="A657" s="19"/>
      <c r="B657" s="20"/>
      <c r="C657" s="21"/>
      <c r="D657" s="21"/>
      <c r="E657" s="14"/>
      <c r="F657" s="22"/>
      <c r="G657" s="23"/>
      <c r="H657" s="2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</row>
    <row r="658" customFormat="false" ht="15.75" hidden="false" customHeight="true" outlineLevel="0" collapsed="false">
      <c r="A658" s="19"/>
      <c r="B658" s="20"/>
      <c r="C658" s="21"/>
      <c r="D658" s="21"/>
      <c r="E658" s="14"/>
      <c r="F658" s="22"/>
      <c r="G658" s="23"/>
      <c r="H658" s="2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</row>
    <row r="659" customFormat="false" ht="15.75" hidden="false" customHeight="true" outlineLevel="0" collapsed="false">
      <c r="A659" s="19"/>
      <c r="B659" s="20"/>
      <c r="C659" s="21"/>
      <c r="D659" s="21"/>
      <c r="E659" s="14"/>
      <c r="F659" s="22"/>
      <c r="G659" s="23"/>
      <c r="H659" s="2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</row>
    <row r="660" customFormat="false" ht="15.75" hidden="false" customHeight="true" outlineLevel="0" collapsed="false">
      <c r="A660" s="19"/>
      <c r="B660" s="20"/>
      <c r="C660" s="21"/>
      <c r="D660" s="21"/>
      <c r="E660" s="14"/>
      <c r="F660" s="22"/>
      <c r="G660" s="23"/>
      <c r="H660" s="2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</row>
    <row r="661" customFormat="false" ht="15.75" hidden="false" customHeight="true" outlineLevel="0" collapsed="false">
      <c r="A661" s="19"/>
      <c r="B661" s="20"/>
      <c r="C661" s="21"/>
      <c r="D661" s="21"/>
      <c r="E661" s="14"/>
      <c r="F661" s="22"/>
      <c r="G661" s="23"/>
      <c r="H661" s="2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</row>
    <row r="662" customFormat="false" ht="15.75" hidden="false" customHeight="true" outlineLevel="0" collapsed="false">
      <c r="A662" s="19"/>
      <c r="B662" s="20"/>
      <c r="C662" s="21"/>
      <c r="D662" s="21"/>
      <c r="E662" s="14"/>
      <c r="F662" s="22"/>
      <c r="G662" s="23"/>
      <c r="H662" s="2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</row>
    <row r="663" customFormat="false" ht="15.75" hidden="false" customHeight="true" outlineLevel="0" collapsed="false">
      <c r="A663" s="19"/>
      <c r="B663" s="20"/>
      <c r="C663" s="21"/>
      <c r="D663" s="21"/>
      <c r="E663" s="14"/>
      <c r="F663" s="22"/>
      <c r="G663" s="23"/>
      <c r="H663" s="2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</row>
    <row r="664" customFormat="false" ht="15.75" hidden="false" customHeight="true" outlineLevel="0" collapsed="false">
      <c r="A664" s="19"/>
      <c r="B664" s="20"/>
      <c r="C664" s="21"/>
      <c r="D664" s="21"/>
      <c r="E664" s="14"/>
      <c r="F664" s="22"/>
      <c r="G664" s="23"/>
      <c r="H664" s="2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</row>
    <row r="665" customFormat="false" ht="15.75" hidden="false" customHeight="true" outlineLevel="0" collapsed="false">
      <c r="A665" s="19"/>
      <c r="B665" s="20"/>
      <c r="C665" s="21"/>
      <c r="D665" s="21"/>
      <c r="E665" s="14"/>
      <c r="F665" s="22"/>
      <c r="G665" s="23"/>
      <c r="H665" s="2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</row>
    <row r="666" customFormat="false" ht="15.75" hidden="false" customHeight="true" outlineLevel="0" collapsed="false">
      <c r="A666" s="19"/>
      <c r="B666" s="20"/>
      <c r="C666" s="21"/>
      <c r="D666" s="21"/>
      <c r="E666" s="14"/>
      <c r="F666" s="22"/>
      <c r="G666" s="23"/>
      <c r="H666" s="2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</row>
    <row r="667" customFormat="false" ht="15.75" hidden="false" customHeight="true" outlineLevel="0" collapsed="false">
      <c r="A667" s="19"/>
      <c r="B667" s="20"/>
      <c r="C667" s="21"/>
      <c r="D667" s="21"/>
      <c r="E667" s="14"/>
      <c r="F667" s="22"/>
      <c r="G667" s="23"/>
      <c r="H667" s="2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</row>
    <row r="668" customFormat="false" ht="15.75" hidden="false" customHeight="true" outlineLevel="0" collapsed="false">
      <c r="A668" s="19"/>
      <c r="B668" s="20"/>
      <c r="C668" s="21"/>
      <c r="D668" s="21"/>
      <c r="E668" s="14"/>
      <c r="F668" s="22"/>
      <c r="G668" s="23"/>
      <c r="H668" s="2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</row>
    <row r="669" customFormat="false" ht="15.75" hidden="false" customHeight="true" outlineLevel="0" collapsed="false">
      <c r="A669" s="19"/>
      <c r="B669" s="20"/>
      <c r="C669" s="21"/>
      <c r="D669" s="21"/>
      <c r="E669" s="14"/>
      <c r="F669" s="22"/>
      <c r="G669" s="23"/>
      <c r="H669" s="2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</row>
    <row r="670" customFormat="false" ht="15.75" hidden="false" customHeight="true" outlineLevel="0" collapsed="false">
      <c r="A670" s="19"/>
      <c r="B670" s="20"/>
      <c r="C670" s="21"/>
      <c r="D670" s="21"/>
      <c r="E670" s="14"/>
      <c r="F670" s="22"/>
      <c r="G670" s="23"/>
      <c r="H670" s="2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</row>
    <row r="671" customFormat="false" ht="15.75" hidden="false" customHeight="true" outlineLevel="0" collapsed="false">
      <c r="A671" s="19"/>
      <c r="B671" s="20"/>
      <c r="C671" s="21"/>
      <c r="D671" s="21"/>
      <c r="E671" s="14"/>
      <c r="F671" s="22"/>
      <c r="G671" s="23"/>
      <c r="H671" s="2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</row>
    <row r="672" customFormat="false" ht="15.75" hidden="false" customHeight="true" outlineLevel="0" collapsed="false">
      <c r="A672" s="19"/>
      <c r="B672" s="20"/>
      <c r="C672" s="21"/>
      <c r="D672" s="21"/>
      <c r="E672" s="14"/>
      <c r="F672" s="22"/>
      <c r="G672" s="23"/>
      <c r="H672" s="2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</row>
    <row r="673" customFormat="false" ht="15.75" hidden="false" customHeight="true" outlineLevel="0" collapsed="false">
      <c r="A673" s="19"/>
      <c r="B673" s="20"/>
      <c r="C673" s="21"/>
      <c r="D673" s="21"/>
      <c r="E673" s="14"/>
      <c r="F673" s="22"/>
      <c r="G673" s="23"/>
      <c r="H673" s="2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</row>
    <row r="674" customFormat="false" ht="15.75" hidden="false" customHeight="true" outlineLevel="0" collapsed="false">
      <c r="A674" s="19"/>
      <c r="B674" s="20"/>
      <c r="C674" s="21"/>
      <c r="D674" s="21"/>
      <c r="E674" s="14"/>
      <c r="F674" s="22"/>
      <c r="G674" s="23"/>
      <c r="H674" s="2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</row>
    <row r="675" customFormat="false" ht="15.75" hidden="false" customHeight="true" outlineLevel="0" collapsed="false">
      <c r="A675" s="19"/>
      <c r="B675" s="20"/>
      <c r="C675" s="21"/>
      <c r="D675" s="21"/>
      <c r="E675" s="14"/>
      <c r="F675" s="22"/>
      <c r="G675" s="23"/>
      <c r="H675" s="2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</row>
    <row r="676" customFormat="false" ht="15.75" hidden="false" customHeight="true" outlineLevel="0" collapsed="false">
      <c r="A676" s="19"/>
      <c r="B676" s="20"/>
      <c r="C676" s="21"/>
      <c r="D676" s="21"/>
      <c r="E676" s="14"/>
      <c r="F676" s="22"/>
      <c r="G676" s="23"/>
      <c r="H676" s="2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</row>
    <row r="677" customFormat="false" ht="15.75" hidden="false" customHeight="true" outlineLevel="0" collapsed="false">
      <c r="A677" s="19"/>
      <c r="B677" s="20"/>
      <c r="C677" s="21"/>
      <c r="D677" s="21"/>
      <c r="E677" s="14"/>
      <c r="F677" s="22"/>
      <c r="G677" s="23"/>
      <c r="H677" s="2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</row>
    <row r="678" customFormat="false" ht="15.75" hidden="false" customHeight="true" outlineLevel="0" collapsed="false">
      <c r="A678" s="19"/>
      <c r="B678" s="20"/>
      <c r="C678" s="21"/>
      <c r="D678" s="21"/>
      <c r="E678" s="14"/>
      <c r="F678" s="22"/>
      <c r="G678" s="23"/>
      <c r="H678" s="2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</row>
    <row r="679" customFormat="false" ht="15.75" hidden="false" customHeight="true" outlineLevel="0" collapsed="false">
      <c r="A679" s="19"/>
      <c r="B679" s="20"/>
      <c r="C679" s="21"/>
      <c r="D679" s="21"/>
      <c r="E679" s="14"/>
      <c r="F679" s="22"/>
      <c r="G679" s="23"/>
      <c r="H679" s="2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</row>
    <row r="680" customFormat="false" ht="15.75" hidden="false" customHeight="true" outlineLevel="0" collapsed="false">
      <c r="A680" s="19"/>
      <c r="B680" s="20"/>
      <c r="C680" s="21"/>
      <c r="D680" s="21"/>
      <c r="E680" s="14"/>
      <c r="F680" s="22"/>
      <c r="G680" s="23"/>
      <c r="H680" s="2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</row>
    <row r="681" customFormat="false" ht="15.75" hidden="false" customHeight="true" outlineLevel="0" collapsed="false">
      <c r="A681" s="19"/>
      <c r="B681" s="20"/>
      <c r="C681" s="21"/>
      <c r="D681" s="21"/>
      <c r="E681" s="14"/>
      <c r="F681" s="22"/>
      <c r="G681" s="23"/>
      <c r="H681" s="2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</row>
    <row r="682" customFormat="false" ht="15.75" hidden="false" customHeight="true" outlineLevel="0" collapsed="false">
      <c r="A682" s="19"/>
      <c r="B682" s="20"/>
      <c r="C682" s="21"/>
      <c r="D682" s="21"/>
      <c r="E682" s="14"/>
      <c r="F682" s="22"/>
      <c r="G682" s="23"/>
      <c r="H682" s="2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</row>
    <row r="683" customFormat="false" ht="15.75" hidden="false" customHeight="true" outlineLevel="0" collapsed="false">
      <c r="A683" s="19"/>
      <c r="B683" s="20"/>
      <c r="C683" s="21"/>
      <c r="D683" s="21"/>
      <c r="E683" s="14"/>
      <c r="F683" s="22"/>
      <c r="G683" s="23"/>
      <c r="H683" s="2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</row>
    <row r="684" customFormat="false" ht="15.75" hidden="false" customHeight="true" outlineLevel="0" collapsed="false">
      <c r="A684" s="19"/>
      <c r="B684" s="20"/>
      <c r="C684" s="21"/>
      <c r="D684" s="21"/>
      <c r="E684" s="14"/>
      <c r="F684" s="22"/>
      <c r="G684" s="23"/>
      <c r="H684" s="2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</row>
    <row r="685" customFormat="false" ht="15.75" hidden="false" customHeight="true" outlineLevel="0" collapsed="false">
      <c r="A685" s="19"/>
      <c r="B685" s="20"/>
      <c r="C685" s="21"/>
      <c r="D685" s="21"/>
      <c r="E685" s="14"/>
      <c r="F685" s="22"/>
      <c r="G685" s="23"/>
      <c r="H685" s="2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</row>
    <row r="686" customFormat="false" ht="15.75" hidden="false" customHeight="true" outlineLevel="0" collapsed="false">
      <c r="A686" s="19"/>
      <c r="B686" s="20"/>
      <c r="C686" s="21"/>
      <c r="D686" s="21"/>
      <c r="E686" s="14"/>
      <c r="F686" s="22"/>
      <c r="G686" s="23"/>
      <c r="H686" s="2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</row>
    <row r="687" customFormat="false" ht="15.75" hidden="false" customHeight="true" outlineLevel="0" collapsed="false">
      <c r="A687" s="19"/>
      <c r="B687" s="20"/>
      <c r="C687" s="21"/>
      <c r="D687" s="21"/>
      <c r="E687" s="14"/>
      <c r="F687" s="22"/>
      <c r="G687" s="23"/>
      <c r="H687" s="2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</row>
    <row r="688" customFormat="false" ht="15.75" hidden="false" customHeight="true" outlineLevel="0" collapsed="false">
      <c r="A688" s="19"/>
      <c r="B688" s="20"/>
      <c r="C688" s="21"/>
      <c r="D688" s="21"/>
      <c r="E688" s="14"/>
      <c r="F688" s="22"/>
      <c r="G688" s="23"/>
      <c r="H688" s="2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</row>
    <row r="689" customFormat="false" ht="15.75" hidden="false" customHeight="true" outlineLevel="0" collapsed="false">
      <c r="A689" s="19"/>
      <c r="B689" s="20"/>
      <c r="C689" s="21"/>
      <c r="D689" s="21"/>
      <c r="E689" s="14"/>
      <c r="F689" s="22"/>
      <c r="G689" s="23"/>
      <c r="H689" s="2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</row>
    <row r="690" customFormat="false" ht="15.75" hidden="false" customHeight="true" outlineLevel="0" collapsed="false">
      <c r="A690" s="19"/>
      <c r="B690" s="20"/>
      <c r="C690" s="21"/>
      <c r="D690" s="21"/>
      <c r="E690" s="14"/>
      <c r="F690" s="22"/>
      <c r="G690" s="23"/>
      <c r="H690" s="2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</row>
    <row r="691" customFormat="false" ht="15.75" hidden="false" customHeight="true" outlineLevel="0" collapsed="false">
      <c r="A691" s="19"/>
      <c r="B691" s="20"/>
      <c r="C691" s="21"/>
      <c r="D691" s="21"/>
      <c r="E691" s="14"/>
      <c r="F691" s="22"/>
      <c r="G691" s="23"/>
      <c r="H691" s="2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</row>
    <row r="692" customFormat="false" ht="15.75" hidden="false" customHeight="true" outlineLevel="0" collapsed="false">
      <c r="A692" s="19"/>
      <c r="B692" s="20"/>
      <c r="C692" s="21"/>
      <c r="D692" s="21"/>
      <c r="E692" s="14"/>
      <c r="F692" s="22"/>
      <c r="G692" s="23"/>
      <c r="H692" s="2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</row>
    <row r="693" customFormat="false" ht="15.75" hidden="false" customHeight="true" outlineLevel="0" collapsed="false">
      <c r="A693" s="19"/>
      <c r="B693" s="20"/>
      <c r="C693" s="21"/>
      <c r="D693" s="21"/>
      <c r="E693" s="14"/>
      <c r="F693" s="22"/>
      <c r="G693" s="23"/>
      <c r="H693" s="2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</row>
    <row r="694" customFormat="false" ht="15.75" hidden="false" customHeight="true" outlineLevel="0" collapsed="false">
      <c r="A694" s="19"/>
      <c r="B694" s="20"/>
      <c r="C694" s="21"/>
      <c r="D694" s="21"/>
      <c r="E694" s="14"/>
      <c r="F694" s="22"/>
      <c r="G694" s="23"/>
      <c r="H694" s="2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</row>
    <row r="695" customFormat="false" ht="15.75" hidden="false" customHeight="true" outlineLevel="0" collapsed="false">
      <c r="A695" s="19"/>
      <c r="B695" s="20"/>
      <c r="C695" s="21"/>
      <c r="D695" s="21"/>
      <c r="E695" s="14"/>
      <c r="F695" s="22"/>
      <c r="G695" s="23"/>
      <c r="H695" s="2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</row>
    <row r="696" customFormat="false" ht="15.75" hidden="false" customHeight="true" outlineLevel="0" collapsed="false">
      <c r="A696" s="19"/>
      <c r="B696" s="20"/>
      <c r="C696" s="21"/>
      <c r="D696" s="21"/>
      <c r="E696" s="14"/>
      <c r="F696" s="22"/>
      <c r="G696" s="23"/>
      <c r="H696" s="2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</row>
    <row r="697" customFormat="false" ht="15.75" hidden="false" customHeight="true" outlineLevel="0" collapsed="false">
      <c r="A697" s="19"/>
      <c r="B697" s="20"/>
      <c r="C697" s="21"/>
      <c r="D697" s="21"/>
      <c r="E697" s="14"/>
      <c r="F697" s="22"/>
      <c r="G697" s="23"/>
      <c r="H697" s="2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</row>
    <row r="698" customFormat="false" ht="15.75" hidden="false" customHeight="true" outlineLevel="0" collapsed="false">
      <c r="A698" s="19"/>
      <c r="B698" s="20"/>
      <c r="C698" s="21"/>
      <c r="D698" s="21"/>
      <c r="E698" s="14"/>
      <c r="F698" s="22"/>
      <c r="G698" s="23"/>
      <c r="H698" s="2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</row>
    <row r="699" customFormat="false" ht="15.75" hidden="false" customHeight="true" outlineLevel="0" collapsed="false">
      <c r="A699" s="19"/>
      <c r="B699" s="20"/>
      <c r="C699" s="21"/>
      <c r="D699" s="21"/>
      <c r="E699" s="14"/>
      <c r="F699" s="22"/>
      <c r="G699" s="23"/>
      <c r="H699" s="2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</row>
    <row r="700" customFormat="false" ht="15.75" hidden="false" customHeight="true" outlineLevel="0" collapsed="false">
      <c r="A700" s="19"/>
      <c r="B700" s="20"/>
      <c r="C700" s="21"/>
      <c r="D700" s="21"/>
      <c r="E700" s="14"/>
      <c r="F700" s="22"/>
      <c r="G700" s="23"/>
      <c r="H700" s="2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</row>
    <row r="701" customFormat="false" ht="15.75" hidden="false" customHeight="true" outlineLevel="0" collapsed="false">
      <c r="A701" s="19"/>
      <c r="B701" s="20"/>
      <c r="C701" s="21"/>
      <c r="D701" s="21"/>
      <c r="E701" s="14"/>
      <c r="F701" s="22"/>
      <c r="G701" s="23"/>
      <c r="H701" s="2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</row>
    <row r="702" customFormat="false" ht="15.75" hidden="false" customHeight="true" outlineLevel="0" collapsed="false">
      <c r="A702" s="19"/>
      <c r="B702" s="20"/>
      <c r="C702" s="21"/>
      <c r="D702" s="21"/>
      <c r="E702" s="14"/>
      <c r="F702" s="22"/>
      <c r="G702" s="23"/>
      <c r="H702" s="2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</row>
    <row r="703" customFormat="false" ht="15.75" hidden="false" customHeight="true" outlineLevel="0" collapsed="false">
      <c r="A703" s="19"/>
      <c r="B703" s="20"/>
      <c r="C703" s="21"/>
      <c r="D703" s="21"/>
      <c r="E703" s="14"/>
      <c r="F703" s="22"/>
      <c r="G703" s="23"/>
      <c r="H703" s="2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</row>
    <row r="704" customFormat="false" ht="15.75" hidden="false" customHeight="true" outlineLevel="0" collapsed="false">
      <c r="A704" s="19"/>
      <c r="B704" s="20"/>
      <c r="C704" s="21"/>
      <c r="D704" s="21"/>
      <c r="E704" s="14"/>
      <c r="F704" s="22"/>
      <c r="G704" s="23"/>
      <c r="H704" s="2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</row>
    <row r="705" customFormat="false" ht="15.75" hidden="false" customHeight="true" outlineLevel="0" collapsed="false">
      <c r="A705" s="19"/>
      <c r="B705" s="20"/>
      <c r="C705" s="21"/>
      <c r="D705" s="21"/>
      <c r="E705" s="14"/>
      <c r="F705" s="22"/>
      <c r="G705" s="23"/>
      <c r="H705" s="2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</row>
    <row r="706" customFormat="false" ht="15.75" hidden="false" customHeight="true" outlineLevel="0" collapsed="false">
      <c r="A706" s="19"/>
      <c r="B706" s="20"/>
      <c r="C706" s="21"/>
      <c r="D706" s="21"/>
      <c r="E706" s="14"/>
      <c r="F706" s="22"/>
      <c r="G706" s="23"/>
      <c r="H706" s="2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</row>
    <row r="707" customFormat="false" ht="15.75" hidden="false" customHeight="true" outlineLevel="0" collapsed="false">
      <c r="A707" s="19"/>
      <c r="B707" s="20"/>
      <c r="C707" s="21"/>
      <c r="D707" s="21"/>
      <c r="E707" s="14"/>
      <c r="F707" s="22"/>
      <c r="G707" s="23"/>
      <c r="H707" s="2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</row>
    <row r="708" customFormat="false" ht="15.75" hidden="false" customHeight="true" outlineLevel="0" collapsed="false">
      <c r="A708" s="19"/>
      <c r="B708" s="20"/>
      <c r="C708" s="21"/>
      <c r="D708" s="21"/>
      <c r="E708" s="14"/>
      <c r="F708" s="22"/>
      <c r="G708" s="23"/>
      <c r="H708" s="2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</row>
    <row r="709" customFormat="false" ht="15.75" hidden="false" customHeight="true" outlineLevel="0" collapsed="false">
      <c r="A709" s="19"/>
      <c r="B709" s="20"/>
      <c r="C709" s="21"/>
      <c r="D709" s="21"/>
      <c r="E709" s="14"/>
      <c r="F709" s="22"/>
      <c r="G709" s="23"/>
      <c r="H709" s="2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</row>
    <row r="710" customFormat="false" ht="15.75" hidden="false" customHeight="true" outlineLevel="0" collapsed="false">
      <c r="A710" s="19"/>
      <c r="B710" s="20"/>
      <c r="C710" s="21"/>
      <c r="D710" s="21"/>
      <c r="E710" s="14"/>
      <c r="F710" s="22"/>
      <c r="G710" s="23"/>
      <c r="H710" s="2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</row>
    <row r="711" customFormat="false" ht="15.75" hidden="false" customHeight="true" outlineLevel="0" collapsed="false">
      <c r="A711" s="19"/>
      <c r="B711" s="20"/>
      <c r="C711" s="21"/>
      <c r="D711" s="21"/>
      <c r="E711" s="14"/>
      <c r="F711" s="22"/>
      <c r="G711" s="23"/>
      <c r="H711" s="2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</row>
    <row r="712" customFormat="false" ht="15.75" hidden="false" customHeight="true" outlineLevel="0" collapsed="false">
      <c r="A712" s="19"/>
      <c r="B712" s="20"/>
      <c r="C712" s="21"/>
      <c r="D712" s="21"/>
      <c r="E712" s="14"/>
      <c r="F712" s="22"/>
      <c r="G712" s="23"/>
      <c r="H712" s="2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</row>
    <row r="713" customFormat="false" ht="15.75" hidden="false" customHeight="true" outlineLevel="0" collapsed="false">
      <c r="A713" s="19"/>
      <c r="B713" s="20"/>
      <c r="C713" s="21"/>
      <c r="D713" s="21"/>
      <c r="E713" s="14"/>
      <c r="F713" s="22"/>
      <c r="G713" s="23"/>
      <c r="H713" s="2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</row>
    <row r="714" customFormat="false" ht="15.75" hidden="false" customHeight="true" outlineLevel="0" collapsed="false">
      <c r="A714" s="19"/>
      <c r="B714" s="20"/>
      <c r="C714" s="21"/>
      <c r="D714" s="21"/>
      <c r="E714" s="14"/>
      <c r="F714" s="22"/>
      <c r="G714" s="23"/>
      <c r="H714" s="2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</row>
    <row r="715" customFormat="false" ht="15.75" hidden="false" customHeight="true" outlineLevel="0" collapsed="false">
      <c r="A715" s="19"/>
      <c r="B715" s="20"/>
      <c r="C715" s="21"/>
      <c r="D715" s="21"/>
      <c r="E715" s="14"/>
      <c r="F715" s="22"/>
      <c r="G715" s="23"/>
      <c r="H715" s="2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</row>
    <row r="716" customFormat="false" ht="15.75" hidden="false" customHeight="true" outlineLevel="0" collapsed="false">
      <c r="A716" s="19"/>
      <c r="B716" s="20"/>
      <c r="C716" s="21"/>
      <c r="D716" s="21"/>
      <c r="E716" s="14"/>
      <c r="F716" s="22"/>
      <c r="G716" s="23"/>
      <c r="H716" s="2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</row>
    <row r="717" customFormat="false" ht="15.75" hidden="false" customHeight="true" outlineLevel="0" collapsed="false">
      <c r="A717" s="19"/>
      <c r="B717" s="20"/>
      <c r="C717" s="21"/>
      <c r="D717" s="21"/>
      <c r="E717" s="14"/>
      <c r="F717" s="22"/>
      <c r="G717" s="23"/>
      <c r="H717" s="2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</row>
    <row r="718" customFormat="false" ht="15.75" hidden="false" customHeight="true" outlineLevel="0" collapsed="false">
      <c r="A718" s="19"/>
      <c r="B718" s="20"/>
      <c r="C718" s="21"/>
      <c r="D718" s="21"/>
      <c r="E718" s="14"/>
      <c r="F718" s="22"/>
      <c r="G718" s="23"/>
      <c r="H718" s="2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</row>
    <row r="719" customFormat="false" ht="15.75" hidden="false" customHeight="true" outlineLevel="0" collapsed="false">
      <c r="A719" s="19"/>
      <c r="B719" s="20"/>
      <c r="C719" s="21"/>
      <c r="D719" s="21"/>
      <c r="E719" s="14"/>
      <c r="F719" s="22"/>
      <c r="G719" s="23"/>
      <c r="H719" s="2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</row>
    <row r="720" customFormat="false" ht="15.75" hidden="false" customHeight="true" outlineLevel="0" collapsed="false">
      <c r="A720" s="19"/>
      <c r="B720" s="20"/>
      <c r="C720" s="21"/>
      <c r="D720" s="21"/>
      <c r="E720" s="14"/>
      <c r="F720" s="22"/>
      <c r="G720" s="23"/>
      <c r="H720" s="2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</row>
    <row r="721" customFormat="false" ht="15.75" hidden="false" customHeight="true" outlineLevel="0" collapsed="false">
      <c r="A721" s="19"/>
      <c r="B721" s="20"/>
      <c r="C721" s="21"/>
      <c r="D721" s="21"/>
      <c r="E721" s="14"/>
      <c r="F721" s="22"/>
      <c r="G721" s="23"/>
      <c r="H721" s="2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</row>
    <row r="722" customFormat="false" ht="15.75" hidden="false" customHeight="true" outlineLevel="0" collapsed="false">
      <c r="A722" s="19"/>
      <c r="B722" s="20"/>
      <c r="C722" s="21"/>
      <c r="D722" s="21"/>
      <c r="E722" s="14"/>
      <c r="F722" s="22"/>
      <c r="G722" s="23"/>
      <c r="H722" s="2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</row>
    <row r="723" customFormat="false" ht="15.75" hidden="false" customHeight="true" outlineLevel="0" collapsed="false">
      <c r="A723" s="19"/>
      <c r="B723" s="20"/>
      <c r="C723" s="21"/>
      <c r="D723" s="21"/>
      <c r="E723" s="14"/>
      <c r="F723" s="22"/>
      <c r="G723" s="23"/>
      <c r="H723" s="2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</row>
    <row r="724" customFormat="false" ht="15.75" hidden="false" customHeight="true" outlineLevel="0" collapsed="false">
      <c r="A724" s="19"/>
      <c r="B724" s="20"/>
      <c r="C724" s="21"/>
      <c r="D724" s="21"/>
      <c r="E724" s="14"/>
      <c r="F724" s="22"/>
      <c r="G724" s="23"/>
      <c r="H724" s="2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</row>
    <row r="725" customFormat="false" ht="15.75" hidden="false" customHeight="true" outlineLevel="0" collapsed="false">
      <c r="A725" s="19"/>
      <c r="B725" s="20"/>
      <c r="C725" s="21"/>
      <c r="D725" s="21"/>
      <c r="E725" s="14"/>
      <c r="F725" s="22"/>
      <c r="G725" s="23"/>
      <c r="H725" s="2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</row>
    <row r="726" customFormat="false" ht="15.75" hidden="false" customHeight="true" outlineLevel="0" collapsed="false">
      <c r="A726" s="19"/>
      <c r="B726" s="20"/>
      <c r="C726" s="21"/>
      <c r="D726" s="21"/>
      <c r="E726" s="14"/>
      <c r="F726" s="22"/>
      <c r="G726" s="23"/>
      <c r="H726" s="2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</row>
    <row r="727" customFormat="false" ht="15.75" hidden="false" customHeight="true" outlineLevel="0" collapsed="false">
      <c r="A727" s="19"/>
      <c r="B727" s="20"/>
      <c r="C727" s="21"/>
      <c r="D727" s="21"/>
      <c r="E727" s="14"/>
      <c r="F727" s="22"/>
      <c r="G727" s="23"/>
      <c r="H727" s="2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</row>
    <row r="728" customFormat="false" ht="15.75" hidden="false" customHeight="true" outlineLevel="0" collapsed="false">
      <c r="A728" s="19"/>
      <c r="B728" s="20"/>
      <c r="C728" s="21"/>
      <c r="D728" s="21"/>
      <c r="E728" s="14"/>
      <c r="F728" s="22"/>
      <c r="G728" s="23"/>
      <c r="H728" s="2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</row>
    <row r="729" customFormat="false" ht="15.75" hidden="false" customHeight="true" outlineLevel="0" collapsed="false">
      <c r="A729" s="19"/>
      <c r="B729" s="20"/>
      <c r="C729" s="21"/>
      <c r="D729" s="21"/>
      <c r="E729" s="14"/>
      <c r="F729" s="22"/>
      <c r="G729" s="23"/>
      <c r="H729" s="2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</row>
    <row r="730" customFormat="false" ht="15.75" hidden="false" customHeight="true" outlineLevel="0" collapsed="false">
      <c r="A730" s="19"/>
      <c r="B730" s="20"/>
      <c r="C730" s="21"/>
      <c r="D730" s="21"/>
      <c r="E730" s="14"/>
      <c r="F730" s="22"/>
      <c r="G730" s="23"/>
      <c r="H730" s="2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</row>
    <row r="731" customFormat="false" ht="15.75" hidden="false" customHeight="true" outlineLevel="0" collapsed="false">
      <c r="A731" s="19"/>
      <c r="B731" s="20"/>
      <c r="C731" s="21"/>
      <c r="D731" s="21"/>
      <c r="E731" s="14"/>
      <c r="F731" s="22"/>
      <c r="G731" s="23"/>
      <c r="H731" s="2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</row>
    <row r="732" customFormat="false" ht="15.75" hidden="false" customHeight="true" outlineLevel="0" collapsed="false">
      <c r="A732" s="19"/>
      <c r="B732" s="20"/>
      <c r="C732" s="21"/>
      <c r="D732" s="21"/>
      <c r="E732" s="14"/>
      <c r="F732" s="22"/>
      <c r="G732" s="23"/>
      <c r="H732" s="2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</row>
    <row r="733" customFormat="false" ht="15.75" hidden="false" customHeight="true" outlineLevel="0" collapsed="false">
      <c r="A733" s="19"/>
      <c r="B733" s="20"/>
      <c r="C733" s="21"/>
      <c r="D733" s="21"/>
      <c r="E733" s="14"/>
      <c r="F733" s="22"/>
      <c r="G733" s="23"/>
      <c r="H733" s="2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</row>
    <row r="734" customFormat="false" ht="15.75" hidden="false" customHeight="true" outlineLevel="0" collapsed="false">
      <c r="A734" s="19"/>
      <c r="B734" s="20"/>
      <c r="C734" s="21"/>
      <c r="D734" s="21"/>
      <c r="E734" s="14"/>
      <c r="F734" s="22"/>
      <c r="G734" s="23"/>
      <c r="H734" s="2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</row>
    <row r="735" customFormat="false" ht="15.75" hidden="false" customHeight="true" outlineLevel="0" collapsed="false">
      <c r="A735" s="19"/>
      <c r="B735" s="20"/>
      <c r="C735" s="21"/>
      <c r="D735" s="21"/>
      <c r="E735" s="14"/>
      <c r="F735" s="22"/>
      <c r="G735" s="23"/>
      <c r="H735" s="2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</row>
    <row r="736" customFormat="false" ht="15.75" hidden="false" customHeight="true" outlineLevel="0" collapsed="false">
      <c r="A736" s="19"/>
      <c r="B736" s="20"/>
      <c r="C736" s="21"/>
      <c r="D736" s="21"/>
      <c r="E736" s="14"/>
      <c r="F736" s="22"/>
      <c r="G736" s="23"/>
      <c r="H736" s="2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</row>
    <row r="737" customFormat="false" ht="15.75" hidden="false" customHeight="true" outlineLevel="0" collapsed="false">
      <c r="A737" s="19"/>
      <c r="B737" s="20"/>
      <c r="C737" s="21"/>
      <c r="D737" s="21"/>
      <c r="E737" s="14"/>
      <c r="F737" s="22"/>
      <c r="G737" s="23"/>
      <c r="H737" s="2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</row>
    <row r="738" customFormat="false" ht="15.75" hidden="false" customHeight="true" outlineLevel="0" collapsed="false">
      <c r="A738" s="19"/>
      <c r="B738" s="20"/>
      <c r="C738" s="21"/>
      <c r="D738" s="21"/>
      <c r="E738" s="14"/>
      <c r="F738" s="22"/>
      <c r="G738" s="23"/>
      <c r="H738" s="2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</row>
    <row r="739" customFormat="false" ht="15.75" hidden="false" customHeight="true" outlineLevel="0" collapsed="false">
      <c r="A739" s="19"/>
      <c r="B739" s="20"/>
      <c r="C739" s="21"/>
      <c r="D739" s="21"/>
      <c r="E739" s="14"/>
      <c r="F739" s="22"/>
      <c r="G739" s="23"/>
      <c r="H739" s="2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</row>
    <row r="740" customFormat="false" ht="15.75" hidden="false" customHeight="true" outlineLevel="0" collapsed="false">
      <c r="A740" s="19"/>
      <c r="B740" s="20"/>
      <c r="C740" s="21"/>
      <c r="D740" s="21"/>
      <c r="E740" s="14"/>
      <c r="F740" s="22"/>
      <c r="G740" s="23"/>
      <c r="H740" s="2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</row>
    <row r="741" customFormat="false" ht="15.75" hidden="false" customHeight="true" outlineLevel="0" collapsed="false">
      <c r="A741" s="19"/>
      <c r="B741" s="20"/>
      <c r="C741" s="21"/>
      <c r="D741" s="21"/>
      <c r="E741" s="14"/>
      <c r="F741" s="22"/>
      <c r="G741" s="23"/>
      <c r="H741" s="2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</row>
    <row r="742" customFormat="false" ht="15.75" hidden="false" customHeight="true" outlineLevel="0" collapsed="false">
      <c r="A742" s="19"/>
      <c r="B742" s="20"/>
      <c r="C742" s="21"/>
      <c r="D742" s="21"/>
      <c r="E742" s="14"/>
      <c r="F742" s="22"/>
      <c r="G742" s="23"/>
      <c r="H742" s="2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</row>
    <row r="743" customFormat="false" ht="15.75" hidden="false" customHeight="true" outlineLevel="0" collapsed="false">
      <c r="A743" s="19"/>
      <c r="B743" s="20"/>
      <c r="C743" s="21"/>
      <c r="D743" s="21"/>
      <c r="E743" s="14"/>
      <c r="F743" s="22"/>
      <c r="G743" s="23"/>
      <c r="H743" s="2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</row>
    <row r="744" customFormat="false" ht="15.75" hidden="false" customHeight="true" outlineLevel="0" collapsed="false">
      <c r="A744" s="19"/>
      <c r="B744" s="20"/>
      <c r="C744" s="21"/>
      <c r="D744" s="21"/>
      <c r="E744" s="14"/>
      <c r="F744" s="22"/>
      <c r="G744" s="23"/>
      <c r="H744" s="2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</row>
    <row r="745" customFormat="false" ht="15.75" hidden="false" customHeight="true" outlineLevel="0" collapsed="false">
      <c r="A745" s="19"/>
      <c r="B745" s="20"/>
      <c r="C745" s="21"/>
      <c r="D745" s="21"/>
      <c r="E745" s="14"/>
      <c r="F745" s="22"/>
      <c r="G745" s="23"/>
      <c r="H745" s="2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</row>
    <row r="746" customFormat="false" ht="15.75" hidden="false" customHeight="true" outlineLevel="0" collapsed="false">
      <c r="A746" s="19"/>
      <c r="B746" s="20"/>
      <c r="C746" s="21"/>
      <c r="D746" s="21"/>
      <c r="E746" s="14"/>
      <c r="F746" s="22"/>
      <c r="G746" s="23"/>
      <c r="H746" s="2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</row>
    <row r="747" customFormat="false" ht="15.75" hidden="false" customHeight="true" outlineLevel="0" collapsed="false">
      <c r="A747" s="19"/>
      <c r="B747" s="20"/>
      <c r="C747" s="21"/>
      <c r="D747" s="21"/>
      <c r="E747" s="14"/>
      <c r="F747" s="22"/>
      <c r="G747" s="23"/>
      <c r="H747" s="2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</row>
    <row r="748" customFormat="false" ht="15.75" hidden="false" customHeight="true" outlineLevel="0" collapsed="false">
      <c r="A748" s="19"/>
      <c r="B748" s="20"/>
      <c r="C748" s="21"/>
      <c r="D748" s="21"/>
      <c r="E748" s="14"/>
      <c r="F748" s="22"/>
      <c r="G748" s="23"/>
      <c r="H748" s="2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</row>
    <row r="749" customFormat="false" ht="15.75" hidden="false" customHeight="true" outlineLevel="0" collapsed="false">
      <c r="A749" s="19"/>
      <c r="B749" s="20"/>
      <c r="C749" s="21"/>
      <c r="D749" s="21"/>
      <c r="E749" s="14"/>
      <c r="F749" s="22"/>
      <c r="G749" s="23"/>
      <c r="H749" s="2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</row>
    <row r="750" customFormat="false" ht="15.75" hidden="false" customHeight="true" outlineLevel="0" collapsed="false">
      <c r="A750" s="19"/>
      <c r="B750" s="20"/>
      <c r="C750" s="21"/>
      <c r="D750" s="21"/>
      <c r="E750" s="14"/>
      <c r="F750" s="22"/>
      <c r="G750" s="23"/>
      <c r="H750" s="2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</row>
    <row r="751" customFormat="false" ht="15.75" hidden="false" customHeight="true" outlineLevel="0" collapsed="false">
      <c r="A751" s="19"/>
      <c r="B751" s="20"/>
      <c r="C751" s="21"/>
      <c r="D751" s="21"/>
      <c r="E751" s="14"/>
      <c r="F751" s="22"/>
      <c r="G751" s="23"/>
      <c r="H751" s="2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</row>
    <row r="752" customFormat="false" ht="15.75" hidden="false" customHeight="true" outlineLevel="0" collapsed="false">
      <c r="A752" s="19"/>
      <c r="B752" s="20"/>
      <c r="C752" s="21"/>
      <c r="D752" s="21"/>
      <c r="E752" s="14"/>
      <c r="F752" s="22"/>
      <c r="G752" s="23"/>
      <c r="H752" s="2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</row>
    <row r="753" customFormat="false" ht="15.75" hidden="false" customHeight="true" outlineLevel="0" collapsed="false">
      <c r="A753" s="19"/>
      <c r="B753" s="20"/>
      <c r="C753" s="21"/>
      <c r="D753" s="21"/>
      <c r="E753" s="14"/>
      <c r="F753" s="22"/>
      <c r="G753" s="23"/>
      <c r="H753" s="2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</row>
    <row r="754" customFormat="false" ht="15.75" hidden="false" customHeight="true" outlineLevel="0" collapsed="false">
      <c r="A754" s="19"/>
      <c r="B754" s="20"/>
      <c r="C754" s="21"/>
      <c r="D754" s="21"/>
      <c r="E754" s="14"/>
      <c r="F754" s="22"/>
      <c r="G754" s="23"/>
      <c r="H754" s="2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</row>
    <row r="755" customFormat="false" ht="15.75" hidden="false" customHeight="true" outlineLevel="0" collapsed="false">
      <c r="A755" s="19"/>
      <c r="B755" s="20"/>
      <c r="C755" s="21"/>
      <c r="D755" s="21"/>
      <c r="E755" s="14"/>
      <c r="F755" s="22"/>
      <c r="G755" s="23"/>
      <c r="H755" s="2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</row>
    <row r="756" customFormat="false" ht="15.75" hidden="false" customHeight="true" outlineLevel="0" collapsed="false">
      <c r="A756" s="19"/>
      <c r="B756" s="20"/>
      <c r="C756" s="21"/>
      <c r="D756" s="21"/>
      <c r="E756" s="14"/>
      <c r="F756" s="22"/>
      <c r="G756" s="23"/>
      <c r="H756" s="2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</row>
    <row r="757" customFormat="false" ht="15.75" hidden="false" customHeight="true" outlineLevel="0" collapsed="false">
      <c r="A757" s="19"/>
      <c r="B757" s="20"/>
      <c r="C757" s="21"/>
      <c r="D757" s="21"/>
      <c r="E757" s="14"/>
      <c r="F757" s="22"/>
      <c r="G757" s="23"/>
      <c r="H757" s="2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</row>
    <row r="758" customFormat="false" ht="15.75" hidden="false" customHeight="true" outlineLevel="0" collapsed="false">
      <c r="A758" s="19"/>
      <c r="B758" s="20"/>
      <c r="C758" s="21"/>
      <c r="D758" s="21"/>
      <c r="E758" s="14"/>
      <c r="F758" s="22"/>
      <c r="G758" s="23"/>
      <c r="H758" s="2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</row>
    <row r="759" customFormat="false" ht="15.75" hidden="false" customHeight="true" outlineLevel="0" collapsed="false">
      <c r="A759" s="19"/>
      <c r="B759" s="20"/>
      <c r="C759" s="21"/>
      <c r="D759" s="21"/>
      <c r="E759" s="14"/>
      <c r="F759" s="22"/>
      <c r="G759" s="23"/>
      <c r="H759" s="2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</row>
    <row r="760" customFormat="false" ht="15.75" hidden="false" customHeight="true" outlineLevel="0" collapsed="false">
      <c r="A760" s="19"/>
      <c r="B760" s="20"/>
      <c r="C760" s="21"/>
      <c r="D760" s="21"/>
      <c r="E760" s="14"/>
      <c r="F760" s="22"/>
      <c r="G760" s="23"/>
      <c r="H760" s="2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</row>
    <row r="761" customFormat="false" ht="15.75" hidden="false" customHeight="true" outlineLevel="0" collapsed="false">
      <c r="A761" s="19"/>
      <c r="B761" s="20"/>
      <c r="C761" s="21"/>
      <c r="D761" s="21"/>
      <c r="E761" s="14"/>
      <c r="F761" s="22"/>
      <c r="G761" s="23"/>
      <c r="H761" s="2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</row>
    <row r="762" customFormat="false" ht="15.75" hidden="false" customHeight="true" outlineLevel="0" collapsed="false">
      <c r="A762" s="19"/>
      <c r="B762" s="20"/>
      <c r="C762" s="21"/>
      <c r="D762" s="21"/>
      <c r="E762" s="14"/>
      <c r="F762" s="22"/>
      <c r="G762" s="23"/>
      <c r="H762" s="2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</row>
    <row r="763" customFormat="false" ht="15.75" hidden="false" customHeight="true" outlineLevel="0" collapsed="false">
      <c r="A763" s="19"/>
      <c r="B763" s="20"/>
      <c r="C763" s="21"/>
      <c r="D763" s="21"/>
      <c r="E763" s="14"/>
      <c r="F763" s="22"/>
      <c r="G763" s="23"/>
      <c r="H763" s="2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</row>
    <row r="764" customFormat="false" ht="15.75" hidden="false" customHeight="true" outlineLevel="0" collapsed="false">
      <c r="A764" s="19"/>
      <c r="B764" s="20"/>
      <c r="C764" s="21"/>
      <c r="D764" s="21"/>
      <c r="E764" s="14"/>
      <c r="F764" s="22"/>
      <c r="G764" s="23"/>
      <c r="H764" s="2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</row>
    <row r="765" customFormat="false" ht="15.75" hidden="false" customHeight="true" outlineLevel="0" collapsed="false">
      <c r="A765" s="19"/>
      <c r="B765" s="20"/>
      <c r="C765" s="21"/>
      <c r="D765" s="21"/>
      <c r="E765" s="14"/>
      <c r="F765" s="22"/>
      <c r="G765" s="23"/>
      <c r="H765" s="2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</row>
    <row r="766" customFormat="false" ht="15.75" hidden="false" customHeight="true" outlineLevel="0" collapsed="false">
      <c r="A766" s="19"/>
      <c r="B766" s="20"/>
      <c r="C766" s="21"/>
      <c r="D766" s="21"/>
      <c r="E766" s="14"/>
      <c r="F766" s="22"/>
      <c r="G766" s="23"/>
      <c r="H766" s="2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</row>
    <row r="767" customFormat="false" ht="15.75" hidden="false" customHeight="true" outlineLevel="0" collapsed="false">
      <c r="A767" s="19"/>
      <c r="B767" s="20"/>
      <c r="C767" s="21"/>
      <c r="D767" s="21"/>
      <c r="E767" s="14"/>
      <c r="F767" s="22"/>
      <c r="G767" s="23"/>
      <c r="H767" s="2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</row>
    <row r="768" customFormat="false" ht="15.75" hidden="false" customHeight="true" outlineLevel="0" collapsed="false">
      <c r="A768" s="19"/>
      <c r="B768" s="20"/>
      <c r="C768" s="21"/>
      <c r="D768" s="21"/>
      <c r="E768" s="14"/>
      <c r="F768" s="22"/>
      <c r="G768" s="23"/>
      <c r="H768" s="2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</row>
    <row r="769" customFormat="false" ht="15.75" hidden="false" customHeight="true" outlineLevel="0" collapsed="false">
      <c r="A769" s="19"/>
      <c r="B769" s="20"/>
      <c r="C769" s="21"/>
      <c r="D769" s="21"/>
      <c r="E769" s="14"/>
      <c r="F769" s="22"/>
      <c r="G769" s="23"/>
      <c r="H769" s="2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</row>
    <row r="770" customFormat="false" ht="15.75" hidden="false" customHeight="true" outlineLevel="0" collapsed="false">
      <c r="A770" s="19"/>
      <c r="B770" s="20"/>
      <c r="C770" s="21"/>
      <c r="D770" s="21"/>
      <c r="E770" s="14"/>
      <c r="F770" s="22"/>
      <c r="G770" s="23"/>
      <c r="H770" s="2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</row>
    <row r="771" customFormat="false" ht="15.75" hidden="false" customHeight="true" outlineLevel="0" collapsed="false">
      <c r="A771" s="19"/>
      <c r="B771" s="20"/>
      <c r="C771" s="21"/>
      <c r="D771" s="21"/>
      <c r="E771" s="14"/>
      <c r="F771" s="22"/>
      <c r="G771" s="23"/>
      <c r="H771" s="2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</row>
    <row r="772" customFormat="false" ht="15.75" hidden="false" customHeight="true" outlineLevel="0" collapsed="false">
      <c r="A772" s="19"/>
      <c r="B772" s="20"/>
      <c r="C772" s="21"/>
      <c r="D772" s="21"/>
      <c r="E772" s="14"/>
      <c r="F772" s="22"/>
      <c r="G772" s="23"/>
      <c r="H772" s="2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</row>
    <row r="773" customFormat="false" ht="15.75" hidden="false" customHeight="true" outlineLevel="0" collapsed="false">
      <c r="A773" s="19"/>
      <c r="B773" s="20"/>
      <c r="C773" s="21"/>
      <c r="D773" s="21"/>
      <c r="E773" s="14"/>
      <c r="F773" s="22"/>
      <c r="G773" s="23"/>
      <c r="H773" s="2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</row>
    <row r="774" customFormat="false" ht="15.75" hidden="false" customHeight="true" outlineLevel="0" collapsed="false">
      <c r="A774" s="19"/>
      <c r="B774" s="20"/>
      <c r="C774" s="21"/>
      <c r="D774" s="21"/>
      <c r="E774" s="14"/>
      <c r="F774" s="22"/>
      <c r="G774" s="23"/>
      <c r="H774" s="2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</row>
    <row r="775" customFormat="false" ht="15.75" hidden="false" customHeight="true" outlineLevel="0" collapsed="false">
      <c r="A775" s="19"/>
      <c r="B775" s="20"/>
      <c r="C775" s="21"/>
      <c r="D775" s="21"/>
      <c r="E775" s="14"/>
      <c r="F775" s="22"/>
      <c r="G775" s="23"/>
      <c r="H775" s="2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</row>
    <row r="776" customFormat="false" ht="15.75" hidden="false" customHeight="true" outlineLevel="0" collapsed="false">
      <c r="A776" s="19"/>
      <c r="B776" s="20"/>
      <c r="C776" s="21"/>
      <c r="D776" s="21"/>
      <c r="E776" s="14"/>
      <c r="F776" s="22"/>
      <c r="G776" s="23"/>
      <c r="H776" s="2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</row>
    <row r="777" customFormat="false" ht="15.75" hidden="false" customHeight="true" outlineLevel="0" collapsed="false">
      <c r="A777" s="19"/>
      <c r="B777" s="20"/>
      <c r="C777" s="21"/>
      <c r="D777" s="21"/>
      <c r="E777" s="14"/>
      <c r="F777" s="22"/>
      <c r="G777" s="23"/>
      <c r="H777" s="2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</row>
    <row r="778" customFormat="false" ht="15.75" hidden="false" customHeight="true" outlineLevel="0" collapsed="false">
      <c r="A778" s="19"/>
      <c r="B778" s="20"/>
      <c r="C778" s="21"/>
      <c r="D778" s="21"/>
      <c r="E778" s="14"/>
      <c r="F778" s="22"/>
      <c r="G778" s="23"/>
      <c r="H778" s="2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</row>
    <row r="779" customFormat="false" ht="15.75" hidden="false" customHeight="true" outlineLevel="0" collapsed="false">
      <c r="A779" s="19"/>
      <c r="B779" s="20"/>
      <c r="C779" s="21"/>
      <c r="D779" s="21"/>
      <c r="E779" s="14"/>
      <c r="F779" s="22"/>
      <c r="G779" s="23"/>
      <c r="H779" s="2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</row>
    <row r="780" customFormat="false" ht="15.75" hidden="false" customHeight="true" outlineLevel="0" collapsed="false">
      <c r="A780" s="19"/>
      <c r="B780" s="20"/>
      <c r="C780" s="21"/>
      <c r="D780" s="21"/>
      <c r="E780" s="14"/>
      <c r="F780" s="22"/>
      <c r="G780" s="23"/>
      <c r="H780" s="2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</row>
    <row r="781" customFormat="false" ht="15.75" hidden="false" customHeight="true" outlineLevel="0" collapsed="false">
      <c r="A781" s="19"/>
      <c r="B781" s="20"/>
      <c r="C781" s="21"/>
      <c r="D781" s="21"/>
      <c r="E781" s="14"/>
      <c r="F781" s="22"/>
      <c r="G781" s="23"/>
      <c r="H781" s="2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</row>
    <row r="782" customFormat="false" ht="15.75" hidden="false" customHeight="true" outlineLevel="0" collapsed="false">
      <c r="A782" s="19"/>
      <c r="B782" s="20"/>
      <c r="C782" s="21"/>
      <c r="D782" s="21"/>
      <c r="E782" s="14"/>
      <c r="F782" s="22"/>
      <c r="G782" s="23"/>
      <c r="H782" s="2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</row>
    <row r="783" customFormat="false" ht="15.75" hidden="false" customHeight="true" outlineLevel="0" collapsed="false">
      <c r="A783" s="19"/>
      <c r="B783" s="20"/>
      <c r="C783" s="21"/>
      <c r="D783" s="21"/>
      <c r="E783" s="14"/>
      <c r="F783" s="22"/>
      <c r="G783" s="23"/>
      <c r="H783" s="2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</row>
    <row r="784" customFormat="false" ht="15.75" hidden="false" customHeight="true" outlineLevel="0" collapsed="false">
      <c r="A784" s="19"/>
      <c r="B784" s="20"/>
      <c r="C784" s="21"/>
      <c r="D784" s="21"/>
      <c r="E784" s="14"/>
      <c r="F784" s="22"/>
      <c r="G784" s="23"/>
      <c r="H784" s="2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</row>
    <row r="785" customFormat="false" ht="15.75" hidden="false" customHeight="true" outlineLevel="0" collapsed="false">
      <c r="A785" s="19"/>
      <c r="B785" s="20"/>
      <c r="C785" s="21"/>
      <c r="D785" s="21"/>
      <c r="E785" s="14"/>
      <c r="F785" s="22"/>
      <c r="G785" s="23"/>
      <c r="H785" s="2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</row>
    <row r="786" customFormat="false" ht="15.75" hidden="false" customHeight="true" outlineLevel="0" collapsed="false">
      <c r="A786" s="19"/>
      <c r="B786" s="20"/>
      <c r="C786" s="21"/>
      <c r="D786" s="21"/>
      <c r="E786" s="14"/>
      <c r="F786" s="22"/>
      <c r="G786" s="23"/>
      <c r="H786" s="2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</row>
    <row r="787" customFormat="false" ht="15.75" hidden="false" customHeight="true" outlineLevel="0" collapsed="false">
      <c r="A787" s="19"/>
      <c r="B787" s="20"/>
      <c r="C787" s="21"/>
      <c r="D787" s="21"/>
      <c r="E787" s="14"/>
      <c r="F787" s="22"/>
      <c r="G787" s="23"/>
      <c r="H787" s="2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</row>
    <row r="788" customFormat="false" ht="15.75" hidden="false" customHeight="true" outlineLevel="0" collapsed="false">
      <c r="A788" s="19"/>
      <c r="B788" s="20"/>
      <c r="C788" s="21"/>
      <c r="D788" s="21"/>
      <c r="E788" s="14"/>
      <c r="F788" s="22"/>
      <c r="G788" s="23"/>
      <c r="H788" s="2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</row>
    <row r="789" customFormat="false" ht="15.75" hidden="false" customHeight="true" outlineLevel="0" collapsed="false">
      <c r="A789" s="19"/>
      <c r="B789" s="20"/>
      <c r="C789" s="21"/>
      <c r="D789" s="21"/>
      <c r="E789" s="14"/>
      <c r="F789" s="22"/>
      <c r="G789" s="23"/>
      <c r="H789" s="2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</row>
    <row r="790" customFormat="false" ht="15.75" hidden="false" customHeight="true" outlineLevel="0" collapsed="false">
      <c r="A790" s="19"/>
      <c r="B790" s="20"/>
      <c r="C790" s="21"/>
      <c r="D790" s="21"/>
      <c r="E790" s="14"/>
      <c r="F790" s="22"/>
      <c r="G790" s="23"/>
      <c r="H790" s="2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</row>
    <row r="791" customFormat="false" ht="15.75" hidden="false" customHeight="true" outlineLevel="0" collapsed="false">
      <c r="A791" s="19"/>
      <c r="B791" s="20"/>
      <c r="C791" s="21"/>
      <c r="D791" s="21"/>
      <c r="E791" s="14"/>
      <c r="F791" s="22"/>
      <c r="G791" s="23"/>
      <c r="H791" s="2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</row>
    <row r="792" customFormat="false" ht="15.75" hidden="false" customHeight="true" outlineLevel="0" collapsed="false">
      <c r="A792" s="19"/>
      <c r="B792" s="20"/>
      <c r="C792" s="21"/>
      <c r="D792" s="21"/>
      <c r="E792" s="14"/>
      <c r="F792" s="22"/>
      <c r="G792" s="23"/>
      <c r="H792" s="2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</row>
    <row r="793" customFormat="false" ht="15.75" hidden="false" customHeight="true" outlineLevel="0" collapsed="false">
      <c r="A793" s="19"/>
      <c r="B793" s="20"/>
      <c r="C793" s="21"/>
      <c r="D793" s="21"/>
      <c r="E793" s="14"/>
      <c r="F793" s="22"/>
      <c r="G793" s="23"/>
      <c r="H793" s="2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</row>
    <row r="794" customFormat="false" ht="15.75" hidden="false" customHeight="true" outlineLevel="0" collapsed="false">
      <c r="A794" s="19"/>
      <c r="B794" s="20"/>
      <c r="C794" s="21"/>
      <c r="D794" s="21"/>
      <c r="E794" s="14"/>
      <c r="F794" s="22"/>
      <c r="G794" s="23"/>
      <c r="H794" s="2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</row>
    <row r="795" customFormat="false" ht="15.75" hidden="false" customHeight="true" outlineLevel="0" collapsed="false">
      <c r="A795" s="19"/>
      <c r="B795" s="20"/>
      <c r="C795" s="21"/>
      <c r="D795" s="21"/>
      <c r="E795" s="14"/>
      <c r="F795" s="22"/>
      <c r="G795" s="23"/>
      <c r="H795" s="2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</row>
    <row r="796" customFormat="false" ht="15.75" hidden="false" customHeight="true" outlineLevel="0" collapsed="false">
      <c r="A796" s="19"/>
      <c r="B796" s="20"/>
      <c r="C796" s="21"/>
      <c r="D796" s="21"/>
      <c r="E796" s="14"/>
      <c r="F796" s="22"/>
      <c r="G796" s="23"/>
      <c r="H796" s="2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</row>
    <row r="797" customFormat="false" ht="15.75" hidden="false" customHeight="true" outlineLevel="0" collapsed="false">
      <c r="A797" s="19"/>
      <c r="B797" s="20"/>
      <c r="C797" s="21"/>
      <c r="D797" s="21"/>
      <c r="E797" s="14"/>
      <c r="F797" s="22"/>
      <c r="G797" s="23"/>
      <c r="H797" s="2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</row>
    <row r="798" customFormat="false" ht="15.75" hidden="false" customHeight="true" outlineLevel="0" collapsed="false">
      <c r="A798" s="19"/>
      <c r="B798" s="20"/>
      <c r="C798" s="21"/>
      <c r="D798" s="21"/>
      <c r="E798" s="14"/>
      <c r="F798" s="22"/>
      <c r="G798" s="23"/>
      <c r="H798" s="2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</row>
    <row r="799" customFormat="false" ht="15.75" hidden="false" customHeight="true" outlineLevel="0" collapsed="false">
      <c r="A799" s="19"/>
      <c r="B799" s="20"/>
      <c r="C799" s="21"/>
      <c r="D799" s="21"/>
      <c r="E799" s="14"/>
      <c r="F799" s="22"/>
      <c r="G799" s="23"/>
      <c r="H799" s="2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</row>
    <row r="800" customFormat="false" ht="15.75" hidden="false" customHeight="true" outlineLevel="0" collapsed="false">
      <c r="A800" s="19"/>
      <c r="B800" s="20"/>
      <c r="C800" s="21"/>
      <c r="D800" s="21"/>
      <c r="E800" s="14"/>
      <c r="F800" s="22"/>
      <c r="G800" s="23"/>
      <c r="H800" s="2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</row>
    <row r="801" customFormat="false" ht="15.75" hidden="false" customHeight="true" outlineLevel="0" collapsed="false">
      <c r="A801" s="19"/>
      <c r="B801" s="20"/>
      <c r="C801" s="21"/>
      <c r="D801" s="21"/>
      <c r="E801" s="14"/>
      <c r="F801" s="22"/>
      <c r="G801" s="23"/>
      <c r="H801" s="2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</row>
    <row r="802" customFormat="false" ht="15.75" hidden="false" customHeight="true" outlineLevel="0" collapsed="false">
      <c r="A802" s="19"/>
      <c r="B802" s="20"/>
      <c r="C802" s="21"/>
      <c r="D802" s="21"/>
      <c r="E802" s="14"/>
      <c r="F802" s="22"/>
      <c r="G802" s="23"/>
      <c r="H802" s="2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</row>
    <row r="803" customFormat="false" ht="15.75" hidden="false" customHeight="true" outlineLevel="0" collapsed="false">
      <c r="A803" s="19"/>
      <c r="B803" s="20"/>
      <c r="C803" s="21"/>
      <c r="D803" s="21"/>
      <c r="E803" s="14"/>
      <c r="F803" s="22"/>
      <c r="G803" s="23"/>
      <c r="H803" s="2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</row>
    <row r="804" customFormat="false" ht="15.75" hidden="false" customHeight="true" outlineLevel="0" collapsed="false">
      <c r="A804" s="19"/>
      <c r="B804" s="20"/>
      <c r="C804" s="21"/>
      <c r="D804" s="21"/>
      <c r="E804" s="14"/>
      <c r="F804" s="22"/>
      <c r="G804" s="23"/>
      <c r="H804" s="2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</row>
    <row r="805" customFormat="false" ht="15.75" hidden="false" customHeight="true" outlineLevel="0" collapsed="false">
      <c r="A805" s="19"/>
      <c r="B805" s="20"/>
      <c r="C805" s="21"/>
      <c r="D805" s="21"/>
      <c r="E805" s="14"/>
      <c r="F805" s="22"/>
      <c r="G805" s="23"/>
      <c r="H805" s="2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</row>
    <row r="806" customFormat="false" ht="15.75" hidden="false" customHeight="true" outlineLevel="0" collapsed="false">
      <c r="A806" s="19"/>
      <c r="B806" s="20"/>
      <c r="C806" s="21"/>
      <c r="D806" s="21"/>
      <c r="E806" s="14"/>
      <c r="F806" s="22"/>
      <c r="G806" s="23"/>
      <c r="H806" s="2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</row>
    <row r="807" customFormat="false" ht="15.75" hidden="false" customHeight="true" outlineLevel="0" collapsed="false">
      <c r="A807" s="19"/>
      <c r="B807" s="20"/>
      <c r="C807" s="21"/>
      <c r="D807" s="21"/>
      <c r="E807" s="14"/>
      <c r="F807" s="22"/>
      <c r="G807" s="23"/>
      <c r="H807" s="2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</row>
    <row r="808" customFormat="false" ht="15.75" hidden="false" customHeight="true" outlineLevel="0" collapsed="false">
      <c r="A808" s="19"/>
      <c r="B808" s="20"/>
      <c r="C808" s="21"/>
      <c r="D808" s="21"/>
      <c r="E808" s="14"/>
      <c r="F808" s="22"/>
      <c r="G808" s="23"/>
      <c r="H808" s="2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</row>
    <row r="809" customFormat="false" ht="15.75" hidden="false" customHeight="true" outlineLevel="0" collapsed="false">
      <c r="A809" s="19"/>
      <c r="B809" s="20"/>
      <c r="C809" s="21"/>
      <c r="D809" s="21"/>
      <c r="E809" s="14"/>
      <c r="F809" s="22"/>
      <c r="G809" s="23"/>
      <c r="H809" s="2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</row>
    <row r="810" customFormat="false" ht="15.75" hidden="false" customHeight="true" outlineLevel="0" collapsed="false">
      <c r="A810" s="19"/>
      <c r="B810" s="20"/>
      <c r="C810" s="21"/>
      <c r="D810" s="21"/>
      <c r="E810" s="14"/>
      <c r="F810" s="22"/>
      <c r="G810" s="23"/>
      <c r="H810" s="2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</row>
    <row r="811" customFormat="false" ht="15.75" hidden="false" customHeight="true" outlineLevel="0" collapsed="false">
      <c r="A811" s="19"/>
      <c r="B811" s="20"/>
      <c r="C811" s="21"/>
      <c r="D811" s="21"/>
      <c r="E811" s="14"/>
      <c r="F811" s="22"/>
      <c r="G811" s="23"/>
      <c r="H811" s="2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</row>
    <row r="812" customFormat="false" ht="15.75" hidden="false" customHeight="true" outlineLevel="0" collapsed="false">
      <c r="A812" s="19"/>
      <c r="B812" s="20"/>
      <c r="C812" s="21"/>
      <c r="D812" s="21"/>
      <c r="E812" s="14"/>
      <c r="F812" s="22"/>
      <c r="G812" s="23"/>
      <c r="H812" s="2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</row>
    <row r="813" customFormat="false" ht="15.75" hidden="false" customHeight="true" outlineLevel="0" collapsed="false">
      <c r="A813" s="19"/>
      <c r="B813" s="20"/>
      <c r="C813" s="21"/>
      <c r="D813" s="21"/>
      <c r="E813" s="14"/>
      <c r="F813" s="22"/>
      <c r="G813" s="23"/>
      <c r="H813" s="2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</row>
    <row r="814" customFormat="false" ht="15.75" hidden="false" customHeight="true" outlineLevel="0" collapsed="false">
      <c r="A814" s="19"/>
      <c r="B814" s="20"/>
      <c r="C814" s="21"/>
      <c r="D814" s="21"/>
      <c r="E814" s="14"/>
      <c r="F814" s="22"/>
      <c r="G814" s="23"/>
      <c r="H814" s="2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</row>
    <row r="815" customFormat="false" ht="15.75" hidden="false" customHeight="true" outlineLevel="0" collapsed="false">
      <c r="A815" s="19"/>
      <c r="B815" s="20"/>
      <c r="C815" s="21"/>
      <c r="D815" s="21"/>
      <c r="E815" s="14"/>
      <c r="F815" s="22"/>
      <c r="G815" s="23"/>
      <c r="H815" s="2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</row>
    <row r="816" customFormat="false" ht="15.75" hidden="false" customHeight="true" outlineLevel="0" collapsed="false">
      <c r="A816" s="19"/>
      <c r="B816" s="20"/>
      <c r="C816" s="21"/>
      <c r="D816" s="21"/>
      <c r="E816" s="14"/>
      <c r="F816" s="22"/>
      <c r="G816" s="23"/>
      <c r="H816" s="2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</row>
    <row r="817" customFormat="false" ht="15.75" hidden="false" customHeight="true" outlineLevel="0" collapsed="false">
      <c r="A817" s="19"/>
      <c r="B817" s="20"/>
      <c r="C817" s="21"/>
      <c r="D817" s="21"/>
      <c r="E817" s="14"/>
      <c r="F817" s="22"/>
      <c r="G817" s="23"/>
      <c r="H817" s="2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</row>
    <row r="818" customFormat="false" ht="15.75" hidden="false" customHeight="true" outlineLevel="0" collapsed="false">
      <c r="A818" s="19"/>
      <c r="B818" s="20"/>
      <c r="C818" s="21"/>
      <c r="D818" s="21"/>
      <c r="E818" s="14"/>
      <c r="F818" s="22"/>
      <c r="G818" s="23"/>
      <c r="H818" s="2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</row>
    <row r="819" customFormat="false" ht="15.75" hidden="false" customHeight="true" outlineLevel="0" collapsed="false">
      <c r="A819" s="19"/>
      <c r="B819" s="20"/>
      <c r="C819" s="21"/>
      <c r="D819" s="21"/>
      <c r="E819" s="14"/>
      <c r="F819" s="22"/>
      <c r="G819" s="23"/>
      <c r="H819" s="2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</row>
    <row r="820" customFormat="false" ht="15.75" hidden="false" customHeight="true" outlineLevel="0" collapsed="false">
      <c r="A820" s="19"/>
      <c r="B820" s="20"/>
      <c r="C820" s="21"/>
      <c r="D820" s="21"/>
      <c r="E820" s="14"/>
      <c r="F820" s="22"/>
      <c r="G820" s="23"/>
      <c r="H820" s="2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</row>
    <row r="821" customFormat="false" ht="15.75" hidden="false" customHeight="true" outlineLevel="0" collapsed="false">
      <c r="A821" s="19"/>
      <c r="B821" s="20"/>
      <c r="C821" s="21"/>
      <c r="D821" s="21"/>
      <c r="E821" s="14"/>
      <c r="F821" s="22"/>
      <c r="G821" s="23"/>
      <c r="H821" s="2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</row>
    <row r="822" customFormat="false" ht="15.75" hidden="false" customHeight="true" outlineLevel="0" collapsed="false">
      <c r="A822" s="19"/>
      <c r="B822" s="20"/>
      <c r="C822" s="21"/>
      <c r="D822" s="21"/>
      <c r="E822" s="14"/>
      <c r="F822" s="22"/>
      <c r="G822" s="23"/>
      <c r="H822" s="2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</row>
    <row r="823" customFormat="false" ht="15.75" hidden="false" customHeight="true" outlineLevel="0" collapsed="false">
      <c r="A823" s="19"/>
      <c r="B823" s="20"/>
      <c r="C823" s="21"/>
      <c r="D823" s="21"/>
      <c r="E823" s="14"/>
      <c r="F823" s="22"/>
      <c r="G823" s="23"/>
      <c r="H823" s="2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</row>
    <row r="824" customFormat="false" ht="15.75" hidden="false" customHeight="true" outlineLevel="0" collapsed="false">
      <c r="A824" s="19"/>
      <c r="B824" s="20"/>
      <c r="C824" s="21"/>
      <c r="D824" s="21"/>
      <c r="E824" s="14"/>
      <c r="F824" s="22"/>
      <c r="G824" s="23"/>
      <c r="H824" s="2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</row>
    <row r="825" customFormat="false" ht="15.75" hidden="false" customHeight="true" outlineLevel="0" collapsed="false">
      <c r="A825" s="19"/>
      <c r="B825" s="20"/>
      <c r="C825" s="21"/>
      <c r="D825" s="21"/>
      <c r="E825" s="14"/>
      <c r="F825" s="22"/>
      <c r="G825" s="23"/>
      <c r="H825" s="2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</row>
    <row r="826" customFormat="false" ht="15.75" hidden="false" customHeight="true" outlineLevel="0" collapsed="false">
      <c r="A826" s="19"/>
      <c r="B826" s="20"/>
      <c r="C826" s="21"/>
      <c r="D826" s="21"/>
      <c r="E826" s="14"/>
      <c r="F826" s="22"/>
      <c r="G826" s="23"/>
      <c r="H826" s="2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</row>
    <row r="827" customFormat="false" ht="15.75" hidden="false" customHeight="true" outlineLevel="0" collapsed="false">
      <c r="A827" s="19"/>
      <c r="B827" s="20"/>
      <c r="C827" s="21"/>
      <c r="D827" s="21"/>
      <c r="E827" s="14"/>
      <c r="F827" s="22"/>
      <c r="G827" s="23"/>
      <c r="H827" s="2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</row>
    <row r="828" customFormat="false" ht="15.75" hidden="false" customHeight="true" outlineLevel="0" collapsed="false">
      <c r="A828" s="19"/>
      <c r="B828" s="20"/>
      <c r="C828" s="21"/>
      <c r="D828" s="21"/>
      <c r="E828" s="14"/>
      <c r="F828" s="22"/>
      <c r="G828" s="23"/>
      <c r="H828" s="2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</row>
    <row r="829" customFormat="false" ht="15.75" hidden="false" customHeight="true" outlineLevel="0" collapsed="false">
      <c r="A829" s="19"/>
      <c r="B829" s="20"/>
      <c r="C829" s="21"/>
      <c r="D829" s="21"/>
      <c r="E829" s="14"/>
      <c r="F829" s="22"/>
      <c r="G829" s="23"/>
      <c r="H829" s="2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</row>
    <row r="830" customFormat="false" ht="15.75" hidden="false" customHeight="true" outlineLevel="0" collapsed="false">
      <c r="A830" s="19"/>
      <c r="B830" s="20"/>
      <c r="C830" s="21"/>
      <c r="D830" s="21"/>
      <c r="E830" s="14"/>
      <c r="F830" s="22"/>
      <c r="G830" s="23"/>
      <c r="H830" s="2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</row>
    <row r="831" customFormat="false" ht="15.75" hidden="false" customHeight="true" outlineLevel="0" collapsed="false">
      <c r="A831" s="19"/>
      <c r="B831" s="20"/>
      <c r="C831" s="21"/>
      <c r="D831" s="21"/>
      <c r="E831" s="14"/>
      <c r="F831" s="22"/>
      <c r="G831" s="23"/>
      <c r="H831" s="2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</row>
    <row r="832" customFormat="false" ht="15.75" hidden="false" customHeight="true" outlineLevel="0" collapsed="false">
      <c r="A832" s="19"/>
      <c r="B832" s="20"/>
      <c r="C832" s="21"/>
      <c r="D832" s="21"/>
      <c r="E832" s="14"/>
      <c r="F832" s="22"/>
      <c r="G832" s="23"/>
      <c r="H832" s="2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</row>
    <row r="833" customFormat="false" ht="15.75" hidden="false" customHeight="true" outlineLevel="0" collapsed="false">
      <c r="A833" s="19"/>
      <c r="B833" s="20"/>
      <c r="C833" s="21"/>
      <c r="D833" s="21"/>
      <c r="E833" s="14"/>
      <c r="F833" s="22"/>
      <c r="G833" s="23"/>
      <c r="H833" s="2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</row>
    <row r="834" customFormat="false" ht="15.75" hidden="false" customHeight="true" outlineLevel="0" collapsed="false">
      <c r="A834" s="19"/>
      <c r="B834" s="20"/>
      <c r="C834" s="21"/>
      <c r="D834" s="21"/>
      <c r="E834" s="14"/>
      <c r="F834" s="22"/>
      <c r="G834" s="23"/>
      <c r="H834" s="2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</row>
    <row r="835" customFormat="false" ht="15.75" hidden="false" customHeight="true" outlineLevel="0" collapsed="false">
      <c r="A835" s="19"/>
      <c r="B835" s="20"/>
      <c r="C835" s="21"/>
      <c r="D835" s="21"/>
      <c r="E835" s="14"/>
      <c r="F835" s="22"/>
      <c r="G835" s="23"/>
      <c r="H835" s="2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</row>
    <row r="836" customFormat="false" ht="15.75" hidden="false" customHeight="true" outlineLevel="0" collapsed="false">
      <c r="A836" s="19"/>
      <c r="B836" s="20"/>
      <c r="C836" s="21"/>
      <c r="D836" s="21"/>
      <c r="E836" s="14"/>
      <c r="F836" s="22"/>
      <c r="G836" s="23"/>
      <c r="H836" s="2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</row>
    <row r="837" customFormat="false" ht="15.75" hidden="false" customHeight="true" outlineLevel="0" collapsed="false">
      <c r="A837" s="19"/>
      <c r="B837" s="20"/>
      <c r="C837" s="21"/>
      <c r="D837" s="21"/>
      <c r="E837" s="14"/>
      <c r="F837" s="22"/>
      <c r="G837" s="23"/>
      <c r="H837" s="2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</row>
    <row r="838" customFormat="false" ht="15.75" hidden="false" customHeight="true" outlineLevel="0" collapsed="false">
      <c r="A838" s="19"/>
      <c r="B838" s="20"/>
      <c r="C838" s="21"/>
      <c r="D838" s="21"/>
      <c r="E838" s="14"/>
      <c r="F838" s="22"/>
      <c r="G838" s="23"/>
      <c r="H838" s="2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</row>
    <row r="839" customFormat="false" ht="15.75" hidden="false" customHeight="true" outlineLevel="0" collapsed="false">
      <c r="A839" s="19"/>
      <c r="B839" s="20"/>
      <c r="C839" s="21"/>
      <c r="D839" s="21"/>
      <c r="E839" s="14"/>
      <c r="F839" s="22"/>
      <c r="G839" s="23"/>
      <c r="H839" s="2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</row>
    <row r="840" customFormat="false" ht="15.75" hidden="false" customHeight="true" outlineLevel="0" collapsed="false">
      <c r="A840" s="19"/>
      <c r="B840" s="20"/>
      <c r="C840" s="21"/>
      <c r="D840" s="21"/>
      <c r="E840" s="14"/>
      <c r="F840" s="22"/>
      <c r="G840" s="23"/>
      <c r="H840" s="2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</row>
    <row r="841" customFormat="false" ht="15.75" hidden="false" customHeight="true" outlineLevel="0" collapsed="false">
      <c r="A841" s="19"/>
      <c r="B841" s="20"/>
      <c r="C841" s="21"/>
      <c r="D841" s="21"/>
      <c r="E841" s="14"/>
      <c r="F841" s="22"/>
      <c r="G841" s="23"/>
      <c r="H841" s="2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</row>
    <row r="842" customFormat="false" ht="15.75" hidden="false" customHeight="true" outlineLevel="0" collapsed="false">
      <c r="A842" s="19"/>
      <c r="B842" s="20"/>
      <c r="C842" s="21"/>
      <c r="D842" s="21"/>
      <c r="E842" s="14"/>
      <c r="F842" s="22"/>
      <c r="G842" s="23"/>
      <c r="H842" s="2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</row>
    <row r="843" customFormat="false" ht="15.75" hidden="false" customHeight="true" outlineLevel="0" collapsed="false">
      <c r="A843" s="19"/>
      <c r="B843" s="20"/>
      <c r="C843" s="21"/>
      <c r="D843" s="21"/>
      <c r="E843" s="14"/>
      <c r="F843" s="22"/>
      <c r="G843" s="23"/>
      <c r="H843" s="2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</row>
    <row r="844" customFormat="false" ht="15.75" hidden="false" customHeight="true" outlineLevel="0" collapsed="false">
      <c r="A844" s="19"/>
      <c r="B844" s="20"/>
      <c r="C844" s="21"/>
      <c r="D844" s="21"/>
      <c r="E844" s="14"/>
      <c r="F844" s="22"/>
      <c r="G844" s="23"/>
      <c r="H844" s="2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</row>
    <row r="845" customFormat="false" ht="15.75" hidden="false" customHeight="true" outlineLevel="0" collapsed="false">
      <c r="A845" s="19"/>
      <c r="B845" s="20"/>
      <c r="C845" s="21"/>
      <c r="D845" s="21"/>
      <c r="E845" s="14"/>
      <c r="F845" s="22"/>
      <c r="G845" s="23"/>
      <c r="H845" s="2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</row>
    <row r="846" customFormat="false" ht="15.75" hidden="false" customHeight="true" outlineLevel="0" collapsed="false">
      <c r="A846" s="19"/>
      <c r="B846" s="20"/>
      <c r="C846" s="21"/>
      <c r="D846" s="21"/>
      <c r="E846" s="14"/>
      <c r="F846" s="22"/>
      <c r="G846" s="23"/>
      <c r="H846" s="2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</row>
    <row r="847" customFormat="false" ht="15.75" hidden="false" customHeight="true" outlineLevel="0" collapsed="false">
      <c r="A847" s="19"/>
      <c r="B847" s="20"/>
      <c r="C847" s="21"/>
      <c r="D847" s="21"/>
      <c r="E847" s="14"/>
      <c r="F847" s="22"/>
      <c r="G847" s="23"/>
      <c r="H847" s="2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</row>
    <row r="848" customFormat="false" ht="15.75" hidden="false" customHeight="true" outlineLevel="0" collapsed="false">
      <c r="A848" s="19"/>
      <c r="B848" s="20"/>
      <c r="C848" s="21"/>
      <c r="D848" s="21"/>
      <c r="E848" s="14"/>
      <c r="F848" s="22"/>
      <c r="G848" s="23"/>
      <c r="H848" s="2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</row>
    <row r="849" customFormat="false" ht="15.75" hidden="false" customHeight="true" outlineLevel="0" collapsed="false">
      <c r="A849" s="19"/>
      <c r="B849" s="20"/>
      <c r="C849" s="21"/>
      <c r="D849" s="21"/>
      <c r="E849" s="14"/>
      <c r="F849" s="22"/>
      <c r="G849" s="23"/>
      <c r="H849" s="2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</row>
    <row r="850" customFormat="false" ht="15.75" hidden="false" customHeight="true" outlineLevel="0" collapsed="false">
      <c r="A850" s="19"/>
      <c r="B850" s="20"/>
      <c r="C850" s="21"/>
      <c r="D850" s="21"/>
      <c r="E850" s="14"/>
      <c r="F850" s="22"/>
      <c r="G850" s="23"/>
      <c r="H850" s="2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</row>
    <row r="851" customFormat="false" ht="15.75" hidden="false" customHeight="true" outlineLevel="0" collapsed="false">
      <c r="A851" s="19"/>
      <c r="B851" s="20"/>
      <c r="C851" s="21"/>
      <c r="D851" s="21"/>
      <c r="E851" s="14"/>
      <c r="F851" s="22"/>
      <c r="G851" s="23"/>
      <c r="H851" s="2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</row>
    <row r="852" customFormat="false" ht="15.75" hidden="false" customHeight="true" outlineLevel="0" collapsed="false">
      <c r="A852" s="19"/>
      <c r="B852" s="20"/>
      <c r="C852" s="21"/>
      <c r="D852" s="21"/>
      <c r="E852" s="14"/>
      <c r="F852" s="22"/>
      <c r="G852" s="23"/>
      <c r="H852" s="2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</row>
    <row r="853" customFormat="false" ht="15.75" hidden="false" customHeight="true" outlineLevel="0" collapsed="false">
      <c r="A853" s="19"/>
      <c r="B853" s="20"/>
      <c r="C853" s="21"/>
      <c r="D853" s="21"/>
      <c r="E853" s="14"/>
      <c r="F853" s="22"/>
      <c r="G853" s="23"/>
      <c r="H853" s="2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</row>
    <row r="854" customFormat="false" ht="15.75" hidden="false" customHeight="true" outlineLevel="0" collapsed="false">
      <c r="A854" s="19"/>
      <c r="B854" s="20"/>
      <c r="C854" s="21"/>
      <c r="D854" s="21"/>
      <c r="E854" s="14"/>
      <c r="F854" s="22"/>
      <c r="G854" s="23"/>
      <c r="H854" s="2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</row>
    <row r="855" customFormat="false" ht="15.75" hidden="false" customHeight="true" outlineLevel="0" collapsed="false">
      <c r="A855" s="19"/>
      <c r="B855" s="20"/>
      <c r="C855" s="21"/>
      <c r="D855" s="21"/>
      <c r="E855" s="14"/>
      <c r="F855" s="22"/>
      <c r="G855" s="23"/>
      <c r="H855" s="2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</row>
    <row r="856" customFormat="false" ht="15.75" hidden="false" customHeight="true" outlineLevel="0" collapsed="false">
      <c r="A856" s="19"/>
      <c r="B856" s="20"/>
      <c r="C856" s="21"/>
      <c r="D856" s="21"/>
      <c r="E856" s="14"/>
      <c r="F856" s="22"/>
      <c r="G856" s="23"/>
      <c r="H856" s="2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</row>
    <row r="857" customFormat="false" ht="15.75" hidden="false" customHeight="true" outlineLevel="0" collapsed="false">
      <c r="A857" s="19"/>
      <c r="B857" s="20"/>
      <c r="C857" s="21"/>
      <c r="D857" s="21"/>
      <c r="E857" s="14"/>
      <c r="F857" s="22"/>
      <c r="G857" s="23"/>
      <c r="H857" s="2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</row>
    <row r="858" customFormat="false" ht="15.75" hidden="false" customHeight="true" outlineLevel="0" collapsed="false">
      <c r="A858" s="19"/>
      <c r="B858" s="20"/>
      <c r="C858" s="21"/>
      <c r="D858" s="21"/>
      <c r="E858" s="14"/>
      <c r="F858" s="22"/>
      <c r="G858" s="23"/>
      <c r="H858" s="2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</row>
    <row r="859" customFormat="false" ht="15.75" hidden="false" customHeight="true" outlineLevel="0" collapsed="false">
      <c r="A859" s="19"/>
      <c r="B859" s="20"/>
      <c r="C859" s="21"/>
      <c r="D859" s="21"/>
      <c r="E859" s="14"/>
      <c r="F859" s="22"/>
      <c r="G859" s="23"/>
      <c r="H859" s="2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</row>
    <row r="860" customFormat="false" ht="15.75" hidden="false" customHeight="true" outlineLevel="0" collapsed="false">
      <c r="A860" s="19"/>
      <c r="B860" s="20"/>
      <c r="C860" s="21"/>
      <c r="D860" s="21"/>
      <c r="E860" s="14"/>
      <c r="F860" s="22"/>
      <c r="G860" s="23"/>
      <c r="H860" s="2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</row>
    <row r="861" customFormat="false" ht="15.75" hidden="false" customHeight="true" outlineLevel="0" collapsed="false">
      <c r="A861" s="19"/>
      <c r="B861" s="20"/>
      <c r="C861" s="21"/>
      <c r="D861" s="21"/>
      <c r="E861" s="14"/>
      <c r="F861" s="22"/>
      <c r="G861" s="23"/>
      <c r="H861" s="2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</row>
    <row r="862" customFormat="false" ht="15.75" hidden="false" customHeight="true" outlineLevel="0" collapsed="false">
      <c r="A862" s="19"/>
      <c r="B862" s="20"/>
      <c r="C862" s="21"/>
      <c r="D862" s="21"/>
      <c r="E862" s="14"/>
      <c r="F862" s="22"/>
      <c r="G862" s="23"/>
      <c r="H862" s="2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</row>
    <row r="863" customFormat="false" ht="15.75" hidden="false" customHeight="true" outlineLevel="0" collapsed="false">
      <c r="A863" s="19"/>
      <c r="B863" s="20"/>
      <c r="C863" s="21"/>
      <c r="D863" s="21"/>
      <c r="E863" s="14"/>
      <c r="F863" s="22"/>
      <c r="G863" s="23"/>
      <c r="H863" s="2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</row>
    <row r="864" customFormat="false" ht="15.75" hidden="false" customHeight="true" outlineLevel="0" collapsed="false">
      <c r="A864" s="19"/>
      <c r="B864" s="20"/>
      <c r="C864" s="21"/>
      <c r="D864" s="21"/>
      <c r="E864" s="14"/>
      <c r="F864" s="22"/>
      <c r="G864" s="23"/>
      <c r="H864" s="2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</row>
    <row r="865" customFormat="false" ht="15.75" hidden="false" customHeight="true" outlineLevel="0" collapsed="false">
      <c r="A865" s="19"/>
      <c r="B865" s="20"/>
      <c r="C865" s="21"/>
      <c r="D865" s="21"/>
      <c r="E865" s="14"/>
      <c r="F865" s="22"/>
      <c r="G865" s="23"/>
      <c r="H865" s="2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</row>
    <row r="866" customFormat="false" ht="15.75" hidden="false" customHeight="true" outlineLevel="0" collapsed="false">
      <c r="A866" s="19"/>
      <c r="B866" s="20"/>
      <c r="C866" s="21"/>
      <c r="D866" s="21"/>
      <c r="E866" s="14"/>
      <c r="F866" s="22"/>
      <c r="G866" s="23"/>
      <c r="H866" s="2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</row>
    <row r="867" customFormat="false" ht="15.75" hidden="false" customHeight="true" outlineLevel="0" collapsed="false">
      <c r="A867" s="19"/>
      <c r="B867" s="20"/>
      <c r="C867" s="21"/>
      <c r="D867" s="21"/>
      <c r="E867" s="14"/>
      <c r="F867" s="22"/>
      <c r="G867" s="23"/>
      <c r="H867" s="2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</row>
    <row r="868" customFormat="false" ht="15.75" hidden="false" customHeight="true" outlineLevel="0" collapsed="false">
      <c r="A868" s="19"/>
      <c r="B868" s="20"/>
      <c r="C868" s="21"/>
      <c r="D868" s="21"/>
      <c r="E868" s="14"/>
      <c r="F868" s="22"/>
      <c r="G868" s="23"/>
      <c r="H868" s="2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</row>
    <row r="869" customFormat="false" ht="15.75" hidden="false" customHeight="true" outlineLevel="0" collapsed="false">
      <c r="A869" s="19"/>
      <c r="B869" s="20"/>
      <c r="C869" s="21"/>
      <c r="D869" s="21"/>
      <c r="E869" s="14"/>
      <c r="F869" s="22"/>
      <c r="G869" s="23"/>
      <c r="H869" s="2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</row>
    <row r="870" customFormat="false" ht="15.75" hidden="false" customHeight="true" outlineLevel="0" collapsed="false">
      <c r="A870" s="19"/>
      <c r="B870" s="20"/>
      <c r="C870" s="21"/>
      <c r="D870" s="21"/>
      <c r="E870" s="14"/>
      <c r="F870" s="22"/>
      <c r="G870" s="23"/>
      <c r="H870" s="2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</row>
    <row r="871" customFormat="false" ht="15.75" hidden="false" customHeight="true" outlineLevel="0" collapsed="false">
      <c r="A871" s="19"/>
      <c r="B871" s="20"/>
      <c r="C871" s="21"/>
      <c r="D871" s="21"/>
      <c r="E871" s="14"/>
      <c r="F871" s="22"/>
      <c r="G871" s="23"/>
      <c r="H871" s="2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</row>
    <row r="872" customFormat="false" ht="15.75" hidden="false" customHeight="true" outlineLevel="0" collapsed="false">
      <c r="A872" s="19"/>
      <c r="B872" s="20"/>
      <c r="C872" s="21"/>
      <c r="D872" s="21"/>
      <c r="E872" s="14"/>
      <c r="F872" s="22"/>
      <c r="G872" s="23"/>
      <c r="H872" s="2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</row>
    <row r="873" customFormat="false" ht="15.75" hidden="false" customHeight="true" outlineLevel="0" collapsed="false">
      <c r="A873" s="19"/>
      <c r="B873" s="20"/>
      <c r="C873" s="21"/>
      <c r="D873" s="21"/>
      <c r="E873" s="14"/>
      <c r="F873" s="22"/>
      <c r="G873" s="23"/>
      <c r="H873" s="2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</row>
    <row r="874" customFormat="false" ht="15.75" hidden="false" customHeight="true" outlineLevel="0" collapsed="false">
      <c r="A874" s="19"/>
      <c r="B874" s="20"/>
      <c r="C874" s="21"/>
      <c r="D874" s="21"/>
      <c r="E874" s="14"/>
      <c r="F874" s="22"/>
      <c r="G874" s="23"/>
      <c r="H874" s="2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</row>
    <row r="875" customFormat="false" ht="15.75" hidden="false" customHeight="true" outlineLevel="0" collapsed="false">
      <c r="A875" s="19"/>
      <c r="B875" s="20"/>
      <c r="C875" s="21"/>
      <c r="D875" s="21"/>
      <c r="E875" s="14"/>
      <c r="F875" s="22"/>
      <c r="G875" s="23"/>
      <c r="H875" s="2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</row>
    <row r="876" customFormat="false" ht="15.75" hidden="false" customHeight="true" outlineLevel="0" collapsed="false">
      <c r="A876" s="19"/>
      <c r="B876" s="20"/>
      <c r="C876" s="21"/>
      <c r="D876" s="21"/>
      <c r="E876" s="14"/>
      <c r="F876" s="22"/>
      <c r="G876" s="23"/>
      <c r="H876" s="2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</row>
    <row r="877" customFormat="false" ht="15.75" hidden="false" customHeight="true" outlineLevel="0" collapsed="false">
      <c r="A877" s="19"/>
      <c r="B877" s="20"/>
      <c r="C877" s="21"/>
      <c r="D877" s="21"/>
      <c r="E877" s="14"/>
      <c r="F877" s="22"/>
      <c r="G877" s="23"/>
      <c r="H877" s="2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</row>
    <row r="878" customFormat="false" ht="15.75" hidden="false" customHeight="true" outlineLevel="0" collapsed="false">
      <c r="A878" s="19"/>
      <c r="B878" s="20"/>
      <c r="C878" s="21"/>
      <c r="D878" s="21"/>
      <c r="E878" s="14"/>
      <c r="F878" s="22"/>
      <c r="G878" s="23"/>
      <c r="H878" s="2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</row>
    <row r="879" customFormat="false" ht="15.75" hidden="false" customHeight="true" outlineLevel="0" collapsed="false">
      <c r="A879" s="19"/>
      <c r="B879" s="20"/>
      <c r="C879" s="21"/>
      <c r="D879" s="21"/>
      <c r="E879" s="14"/>
      <c r="F879" s="22"/>
      <c r="G879" s="23"/>
      <c r="H879" s="2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</row>
    <row r="880" customFormat="false" ht="15.75" hidden="false" customHeight="true" outlineLevel="0" collapsed="false">
      <c r="A880" s="19"/>
      <c r="B880" s="20"/>
      <c r="C880" s="21"/>
      <c r="D880" s="21"/>
      <c r="E880" s="14"/>
      <c r="F880" s="22"/>
      <c r="G880" s="23"/>
      <c r="H880" s="2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</row>
    <row r="881" customFormat="false" ht="15.75" hidden="false" customHeight="true" outlineLevel="0" collapsed="false">
      <c r="A881" s="19"/>
      <c r="B881" s="20"/>
      <c r="C881" s="21"/>
      <c r="D881" s="21"/>
      <c r="E881" s="14"/>
      <c r="F881" s="22"/>
      <c r="G881" s="23"/>
      <c r="H881" s="2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</row>
    <row r="882" customFormat="false" ht="15.75" hidden="false" customHeight="true" outlineLevel="0" collapsed="false">
      <c r="A882" s="19"/>
      <c r="B882" s="20"/>
      <c r="C882" s="21"/>
      <c r="D882" s="21"/>
      <c r="E882" s="14"/>
      <c r="F882" s="22"/>
      <c r="G882" s="23"/>
      <c r="H882" s="2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</row>
    <row r="883" customFormat="false" ht="15.75" hidden="false" customHeight="true" outlineLevel="0" collapsed="false">
      <c r="A883" s="19"/>
      <c r="B883" s="20"/>
      <c r="C883" s="21"/>
      <c r="D883" s="21"/>
      <c r="E883" s="14"/>
      <c r="F883" s="22"/>
      <c r="G883" s="23"/>
      <c r="H883" s="2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</row>
    <row r="884" customFormat="false" ht="15.75" hidden="false" customHeight="true" outlineLevel="0" collapsed="false">
      <c r="A884" s="19"/>
      <c r="B884" s="20"/>
      <c r="C884" s="21"/>
      <c r="D884" s="21"/>
      <c r="E884" s="14"/>
      <c r="F884" s="22"/>
      <c r="G884" s="23"/>
      <c r="H884" s="2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</row>
    <row r="885" customFormat="false" ht="15.75" hidden="false" customHeight="true" outlineLevel="0" collapsed="false">
      <c r="A885" s="19"/>
      <c r="B885" s="20"/>
      <c r="C885" s="21"/>
      <c r="D885" s="21"/>
      <c r="E885" s="14"/>
      <c r="F885" s="22"/>
      <c r="G885" s="23"/>
      <c r="H885" s="2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</row>
    <row r="886" customFormat="false" ht="15.75" hidden="false" customHeight="true" outlineLevel="0" collapsed="false">
      <c r="A886" s="19"/>
      <c r="B886" s="20"/>
      <c r="C886" s="21"/>
      <c r="D886" s="21"/>
      <c r="E886" s="14"/>
      <c r="F886" s="22"/>
      <c r="G886" s="23"/>
      <c r="H886" s="2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</row>
    <row r="887" customFormat="false" ht="15.75" hidden="false" customHeight="true" outlineLevel="0" collapsed="false">
      <c r="A887" s="19"/>
      <c r="B887" s="20"/>
      <c r="C887" s="21"/>
      <c r="D887" s="21"/>
      <c r="E887" s="14"/>
      <c r="F887" s="22"/>
      <c r="G887" s="23"/>
      <c r="H887" s="2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</row>
    <row r="888" customFormat="false" ht="15.75" hidden="false" customHeight="true" outlineLevel="0" collapsed="false">
      <c r="A888" s="19"/>
      <c r="B888" s="20"/>
      <c r="C888" s="21"/>
      <c r="D888" s="21"/>
      <c r="E888" s="14"/>
      <c r="F888" s="22"/>
      <c r="G888" s="23"/>
      <c r="H888" s="2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</row>
    <row r="889" customFormat="false" ht="15.75" hidden="false" customHeight="true" outlineLevel="0" collapsed="false">
      <c r="A889" s="19"/>
      <c r="B889" s="20"/>
      <c r="C889" s="21"/>
      <c r="D889" s="21"/>
      <c r="E889" s="14"/>
      <c r="F889" s="22"/>
      <c r="G889" s="23"/>
      <c r="H889" s="2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</row>
    <row r="890" customFormat="false" ht="15.75" hidden="false" customHeight="true" outlineLevel="0" collapsed="false">
      <c r="A890" s="19"/>
      <c r="B890" s="20"/>
      <c r="C890" s="21"/>
      <c r="D890" s="21"/>
      <c r="E890" s="14"/>
      <c r="F890" s="22"/>
      <c r="G890" s="23"/>
      <c r="H890" s="2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</row>
    <row r="891" customFormat="false" ht="15.75" hidden="false" customHeight="true" outlineLevel="0" collapsed="false">
      <c r="A891" s="19"/>
      <c r="B891" s="20"/>
      <c r="C891" s="21"/>
      <c r="D891" s="21"/>
      <c r="E891" s="14"/>
      <c r="F891" s="22"/>
      <c r="G891" s="23"/>
      <c r="H891" s="2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</row>
    <row r="892" customFormat="false" ht="15.75" hidden="false" customHeight="true" outlineLevel="0" collapsed="false">
      <c r="A892" s="19"/>
      <c r="B892" s="20"/>
      <c r="C892" s="21"/>
      <c r="D892" s="21"/>
      <c r="E892" s="14"/>
      <c r="F892" s="22"/>
      <c r="G892" s="23"/>
      <c r="H892" s="2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</row>
    <row r="893" customFormat="false" ht="15.75" hidden="false" customHeight="true" outlineLevel="0" collapsed="false">
      <c r="A893" s="19"/>
      <c r="B893" s="20"/>
      <c r="C893" s="21"/>
      <c r="D893" s="21"/>
      <c r="E893" s="14"/>
      <c r="F893" s="22"/>
      <c r="G893" s="23"/>
      <c r="H893" s="2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</row>
    <row r="894" customFormat="false" ht="15.75" hidden="false" customHeight="true" outlineLevel="0" collapsed="false">
      <c r="A894" s="19"/>
      <c r="B894" s="20"/>
      <c r="C894" s="21"/>
      <c r="D894" s="21"/>
      <c r="E894" s="14"/>
      <c r="F894" s="22"/>
      <c r="G894" s="23"/>
      <c r="H894" s="2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</row>
    <row r="895" customFormat="false" ht="15.75" hidden="false" customHeight="true" outlineLevel="0" collapsed="false">
      <c r="A895" s="19"/>
      <c r="B895" s="20"/>
      <c r="C895" s="21"/>
      <c r="D895" s="21"/>
      <c r="E895" s="14"/>
      <c r="F895" s="22"/>
      <c r="G895" s="23"/>
      <c r="H895" s="2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</row>
    <row r="896" customFormat="false" ht="15.75" hidden="false" customHeight="true" outlineLevel="0" collapsed="false">
      <c r="A896" s="19"/>
      <c r="B896" s="20"/>
      <c r="C896" s="21"/>
      <c r="D896" s="21"/>
      <c r="E896" s="14"/>
      <c r="F896" s="22"/>
      <c r="G896" s="23"/>
      <c r="H896" s="2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</row>
    <row r="897" customFormat="false" ht="15.75" hidden="false" customHeight="true" outlineLevel="0" collapsed="false">
      <c r="A897" s="19"/>
      <c r="B897" s="20"/>
      <c r="C897" s="21"/>
      <c r="D897" s="21"/>
      <c r="E897" s="14"/>
      <c r="F897" s="22"/>
      <c r="G897" s="23"/>
      <c r="H897" s="2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</row>
    <row r="898" customFormat="false" ht="15.75" hidden="false" customHeight="true" outlineLevel="0" collapsed="false">
      <c r="A898" s="19"/>
      <c r="B898" s="20"/>
      <c r="C898" s="21"/>
      <c r="D898" s="21"/>
      <c r="E898" s="14"/>
      <c r="F898" s="22"/>
      <c r="G898" s="23"/>
      <c r="H898" s="2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</row>
    <row r="899" customFormat="false" ht="15.75" hidden="false" customHeight="true" outlineLevel="0" collapsed="false">
      <c r="A899" s="19"/>
      <c r="B899" s="20"/>
      <c r="C899" s="21"/>
      <c r="D899" s="21"/>
      <c r="E899" s="14"/>
      <c r="F899" s="22"/>
      <c r="G899" s="23"/>
      <c r="H899" s="2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</row>
    <row r="900" customFormat="false" ht="15.75" hidden="false" customHeight="true" outlineLevel="0" collapsed="false">
      <c r="A900" s="19"/>
      <c r="B900" s="20"/>
      <c r="C900" s="21"/>
      <c r="D900" s="21"/>
      <c r="E900" s="14"/>
      <c r="F900" s="22"/>
      <c r="G900" s="23"/>
      <c r="H900" s="2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</row>
    <row r="901" customFormat="false" ht="15.75" hidden="false" customHeight="true" outlineLevel="0" collapsed="false">
      <c r="A901" s="19"/>
      <c r="B901" s="20"/>
      <c r="C901" s="21"/>
      <c r="D901" s="21"/>
      <c r="E901" s="14"/>
      <c r="F901" s="22"/>
      <c r="G901" s="23"/>
      <c r="H901" s="2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</row>
    <row r="902" customFormat="false" ht="15.75" hidden="false" customHeight="true" outlineLevel="0" collapsed="false">
      <c r="A902" s="19"/>
      <c r="B902" s="20"/>
      <c r="C902" s="21"/>
      <c r="D902" s="21"/>
      <c r="E902" s="14"/>
      <c r="F902" s="22"/>
      <c r="G902" s="23"/>
      <c r="H902" s="2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</row>
    <row r="903" customFormat="false" ht="15.75" hidden="false" customHeight="true" outlineLevel="0" collapsed="false">
      <c r="A903" s="19"/>
      <c r="B903" s="20"/>
      <c r="C903" s="21"/>
      <c r="D903" s="21"/>
      <c r="E903" s="14"/>
      <c r="F903" s="22"/>
      <c r="G903" s="23"/>
      <c r="H903" s="2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</row>
    <row r="904" customFormat="false" ht="15.75" hidden="false" customHeight="true" outlineLevel="0" collapsed="false">
      <c r="A904" s="19"/>
      <c r="B904" s="20"/>
      <c r="C904" s="21"/>
      <c r="D904" s="21"/>
      <c r="E904" s="14"/>
      <c r="F904" s="22"/>
      <c r="G904" s="23"/>
      <c r="H904" s="2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</row>
    <row r="905" customFormat="false" ht="15.75" hidden="false" customHeight="true" outlineLevel="0" collapsed="false">
      <c r="A905" s="19"/>
      <c r="B905" s="20"/>
      <c r="C905" s="21"/>
      <c r="D905" s="21"/>
      <c r="E905" s="14"/>
      <c r="F905" s="22"/>
      <c r="G905" s="23"/>
      <c r="H905" s="2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</row>
    <row r="906" customFormat="false" ht="15.75" hidden="false" customHeight="true" outlineLevel="0" collapsed="false">
      <c r="A906" s="19"/>
      <c r="B906" s="20"/>
      <c r="C906" s="21"/>
      <c r="D906" s="21"/>
      <c r="E906" s="14"/>
      <c r="F906" s="22"/>
      <c r="G906" s="23"/>
      <c r="H906" s="2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</row>
    <row r="907" customFormat="false" ht="15.75" hidden="false" customHeight="true" outlineLevel="0" collapsed="false">
      <c r="A907" s="19"/>
      <c r="B907" s="20"/>
      <c r="C907" s="21"/>
      <c r="D907" s="21"/>
      <c r="E907" s="14"/>
      <c r="F907" s="22"/>
      <c r="G907" s="23"/>
      <c r="H907" s="2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</row>
    <row r="908" customFormat="false" ht="15.75" hidden="false" customHeight="true" outlineLevel="0" collapsed="false">
      <c r="A908" s="19"/>
      <c r="B908" s="20"/>
      <c r="C908" s="21"/>
      <c r="D908" s="21"/>
      <c r="E908" s="14"/>
      <c r="F908" s="22"/>
      <c r="G908" s="23"/>
      <c r="H908" s="2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</row>
    <row r="909" customFormat="false" ht="15.75" hidden="false" customHeight="true" outlineLevel="0" collapsed="false">
      <c r="A909" s="19"/>
      <c r="B909" s="20"/>
      <c r="C909" s="21"/>
      <c r="D909" s="21"/>
      <c r="E909" s="14"/>
      <c r="F909" s="22"/>
      <c r="G909" s="23"/>
      <c r="H909" s="2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</row>
    <row r="910" customFormat="false" ht="15.75" hidden="false" customHeight="true" outlineLevel="0" collapsed="false">
      <c r="A910" s="19"/>
      <c r="B910" s="20"/>
      <c r="C910" s="21"/>
      <c r="D910" s="21"/>
      <c r="E910" s="14"/>
      <c r="F910" s="22"/>
      <c r="G910" s="23"/>
      <c r="H910" s="2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</row>
    <row r="911" customFormat="false" ht="15.75" hidden="false" customHeight="true" outlineLevel="0" collapsed="false">
      <c r="A911" s="19"/>
      <c r="B911" s="20"/>
      <c r="C911" s="21"/>
      <c r="D911" s="21"/>
      <c r="E911" s="14"/>
      <c r="F911" s="22"/>
      <c r="G911" s="23"/>
      <c r="H911" s="2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</row>
    <row r="912" customFormat="false" ht="15.75" hidden="false" customHeight="true" outlineLevel="0" collapsed="false">
      <c r="A912" s="19"/>
      <c r="B912" s="20"/>
      <c r="C912" s="21"/>
      <c r="D912" s="21"/>
      <c r="E912" s="14"/>
      <c r="F912" s="22"/>
      <c r="G912" s="23"/>
      <c r="H912" s="2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</row>
    <row r="913" customFormat="false" ht="15.75" hidden="false" customHeight="true" outlineLevel="0" collapsed="false">
      <c r="A913" s="19"/>
      <c r="B913" s="20"/>
      <c r="C913" s="21"/>
      <c r="D913" s="21"/>
      <c r="E913" s="14"/>
      <c r="F913" s="22"/>
      <c r="G913" s="23"/>
      <c r="H913" s="2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</row>
    <row r="914" customFormat="false" ht="15.75" hidden="false" customHeight="true" outlineLevel="0" collapsed="false">
      <c r="A914" s="19"/>
      <c r="B914" s="20"/>
      <c r="C914" s="21"/>
      <c r="D914" s="21"/>
      <c r="E914" s="14"/>
      <c r="F914" s="22"/>
      <c r="G914" s="23"/>
      <c r="H914" s="2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</row>
    <row r="915" customFormat="false" ht="15.75" hidden="false" customHeight="true" outlineLevel="0" collapsed="false">
      <c r="A915" s="19"/>
      <c r="B915" s="20"/>
      <c r="C915" s="21"/>
      <c r="D915" s="21"/>
      <c r="E915" s="14"/>
      <c r="F915" s="22"/>
      <c r="G915" s="23"/>
      <c r="H915" s="2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</row>
    <row r="916" customFormat="false" ht="15.75" hidden="false" customHeight="true" outlineLevel="0" collapsed="false">
      <c r="A916" s="19"/>
      <c r="B916" s="20"/>
      <c r="C916" s="21"/>
      <c r="D916" s="21"/>
      <c r="E916" s="14"/>
      <c r="F916" s="22"/>
      <c r="G916" s="23"/>
      <c r="H916" s="2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</row>
    <row r="917" customFormat="false" ht="15.75" hidden="false" customHeight="true" outlineLevel="0" collapsed="false">
      <c r="A917" s="19"/>
      <c r="B917" s="20"/>
      <c r="C917" s="21"/>
      <c r="D917" s="21"/>
      <c r="E917" s="14"/>
      <c r="F917" s="22"/>
      <c r="G917" s="23"/>
      <c r="H917" s="2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</row>
    <row r="918" customFormat="false" ht="15.75" hidden="false" customHeight="true" outlineLevel="0" collapsed="false">
      <c r="A918" s="19"/>
      <c r="B918" s="20"/>
      <c r="C918" s="21"/>
      <c r="D918" s="21"/>
      <c r="E918" s="14"/>
      <c r="F918" s="22"/>
      <c r="G918" s="23"/>
      <c r="H918" s="2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</row>
    <row r="919" customFormat="false" ht="15.75" hidden="false" customHeight="true" outlineLevel="0" collapsed="false">
      <c r="A919" s="19"/>
      <c r="B919" s="20"/>
      <c r="C919" s="21"/>
      <c r="D919" s="21"/>
      <c r="E919" s="14"/>
      <c r="F919" s="22"/>
      <c r="G919" s="23"/>
      <c r="H919" s="2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</row>
    <row r="920" customFormat="false" ht="15.75" hidden="false" customHeight="true" outlineLevel="0" collapsed="false">
      <c r="A920" s="19"/>
      <c r="B920" s="20"/>
      <c r="C920" s="21"/>
      <c r="D920" s="21"/>
      <c r="E920" s="14"/>
      <c r="F920" s="22"/>
      <c r="G920" s="23"/>
      <c r="H920" s="2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</row>
    <row r="921" customFormat="false" ht="15.75" hidden="false" customHeight="true" outlineLevel="0" collapsed="false">
      <c r="A921" s="19"/>
      <c r="B921" s="20"/>
      <c r="C921" s="21"/>
      <c r="D921" s="21"/>
      <c r="E921" s="14"/>
      <c r="F921" s="22"/>
      <c r="G921" s="23"/>
      <c r="H921" s="2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</row>
    <row r="922" customFormat="false" ht="15.75" hidden="false" customHeight="true" outlineLevel="0" collapsed="false">
      <c r="A922" s="19"/>
      <c r="B922" s="20"/>
      <c r="C922" s="21"/>
      <c r="D922" s="21"/>
      <c r="E922" s="14"/>
      <c r="F922" s="22"/>
      <c r="G922" s="23"/>
      <c r="H922" s="2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</row>
    <row r="923" customFormat="false" ht="15.75" hidden="false" customHeight="true" outlineLevel="0" collapsed="false">
      <c r="A923" s="19"/>
      <c r="B923" s="20"/>
      <c r="C923" s="21"/>
      <c r="D923" s="21"/>
      <c r="E923" s="14"/>
      <c r="F923" s="22"/>
      <c r="G923" s="23"/>
      <c r="H923" s="2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</row>
    <row r="924" customFormat="false" ht="15.75" hidden="false" customHeight="true" outlineLevel="0" collapsed="false">
      <c r="A924" s="19"/>
      <c r="B924" s="20"/>
      <c r="C924" s="21"/>
      <c r="D924" s="21"/>
      <c r="E924" s="14"/>
      <c r="F924" s="22"/>
      <c r="G924" s="23"/>
      <c r="H924" s="2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</row>
    <row r="925" customFormat="false" ht="15.75" hidden="false" customHeight="true" outlineLevel="0" collapsed="false">
      <c r="A925" s="19"/>
      <c r="B925" s="20"/>
      <c r="C925" s="21"/>
      <c r="D925" s="21"/>
      <c r="E925" s="14"/>
      <c r="F925" s="22"/>
      <c r="G925" s="23"/>
      <c r="H925" s="2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</row>
    <row r="926" customFormat="false" ht="15.75" hidden="false" customHeight="true" outlineLevel="0" collapsed="false">
      <c r="A926" s="19"/>
      <c r="B926" s="20"/>
      <c r="C926" s="21"/>
      <c r="D926" s="21"/>
      <c r="E926" s="14"/>
      <c r="F926" s="22"/>
      <c r="G926" s="23"/>
      <c r="H926" s="2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</row>
    <row r="927" customFormat="false" ht="15.75" hidden="false" customHeight="true" outlineLevel="0" collapsed="false">
      <c r="A927" s="19"/>
      <c r="B927" s="20"/>
      <c r="C927" s="21"/>
      <c r="D927" s="21"/>
      <c r="E927" s="14"/>
      <c r="F927" s="22"/>
      <c r="G927" s="23"/>
      <c r="H927" s="2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</row>
    <row r="928" customFormat="false" ht="15.75" hidden="false" customHeight="true" outlineLevel="0" collapsed="false">
      <c r="A928" s="19"/>
      <c r="B928" s="20"/>
      <c r="C928" s="21"/>
      <c r="D928" s="21"/>
      <c r="E928" s="14"/>
      <c r="F928" s="22"/>
      <c r="G928" s="23"/>
      <c r="H928" s="2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</row>
    <row r="929" customFormat="false" ht="15.75" hidden="false" customHeight="true" outlineLevel="0" collapsed="false">
      <c r="A929" s="19"/>
      <c r="B929" s="20"/>
      <c r="C929" s="21"/>
      <c r="D929" s="21"/>
      <c r="E929" s="14"/>
      <c r="F929" s="22"/>
      <c r="G929" s="23"/>
      <c r="H929" s="2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</row>
    <row r="930" customFormat="false" ht="15.75" hidden="false" customHeight="true" outlineLevel="0" collapsed="false">
      <c r="A930" s="19"/>
      <c r="B930" s="20"/>
      <c r="C930" s="21"/>
      <c r="D930" s="21"/>
      <c r="E930" s="14"/>
      <c r="F930" s="22"/>
      <c r="G930" s="23"/>
      <c r="H930" s="2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</row>
    <row r="931" customFormat="false" ht="15.75" hidden="false" customHeight="true" outlineLevel="0" collapsed="false">
      <c r="A931" s="19"/>
      <c r="B931" s="20"/>
      <c r="C931" s="21"/>
      <c r="D931" s="21"/>
      <c r="E931" s="14"/>
      <c r="F931" s="22"/>
      <c r="G931" s="23"/>
      <c r="H931" s="2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</row>
    <row r="932" customFormat="false" ht="15.75" hidden="false" customHeight="true" outlineLevel="0" collapsed="false">
      <c r="A932" s="19"/>
      <c r="B932" s="20"/>
      <c r="C932" s="21"/>
      <c r="D932" s="21"/>
      <c r="E932" s="14"/>
      <c r="F932" s="22"/>
      <c r="G932" s="23"/>
      <c r="H932" s="2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</row>
    <row r="933" customFormat="false" ht="15.75" hidden="false" customHeight="true" outlineLevel="0" collapsed="false">
      <c r="A933" s="19"/>
      <c r="B933" s="20"/>
      <c r="C933" s="21"/>
      <c r="D933" s="21"/>
      <c r="E933" s="14"/>
      <c r="F933" s="22"/>
      <c r="G933" s="23"/>
      <c r="H933" s="2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</row>
    <row r="934" customFormat="false" ht="15.75" hidden="false" customHeight="true" outlineLevel="0" collapsed="false">
      <c r="A934" s="19"/>
      <c r="B934" s="20"/>
      <c r="C934" s="21"/>
      <c r="D934" s="21"/>
      <c r="E934" s="14"/>
      <c r="F934" s="22"/>
      <c r="G934" s="23"/>
      <c r="H934" s="2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</row>
    <row r="935" customFormat="false" ht="15.75" hidden="false" customHeight="true" outlineLevel="0" collapsed="false">
      <c r="A935" s="19"/>
      <c r="B935" s="20"/>
      <c r="C935" s="21"/>
      <c r="D935" s="21"/>
      <c r="E935" s="14"/>
      <c r="F935" s="22"/>
      <c r="G935" s="23"/>
      <c r="H935" s="2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</row>
    <row r="936" customFormat="false" ht="15.75" hidden="false" customHeight="true" outlineLevel="0" collapsed="false">
      <c r="A936" s="19"/>
      <c r="B936" s="20"/>
      <c r="C936" s="21"/>
      <c r="D936" s="21"/>
      <c r="E936" s="14"/>
      <c r="F936" s="22"/>
      <c r="G936" s="23"/>
      <c r="H936" s="2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</row>
    <row r="937" customFormat="false" ht="15.75" hidden="false" customHeight="true" outlineLevel="0" collapsed="false">
      <c r="A937" s="19"/>
      <c r="B937" s="20"/>
      <c r="C937" s="21"/>
      <c r="D937" s="21"/>
      <c r="E937" s="14"/>
      <c r="F937" s="22"/>
      <c r="G937" s="23"/>
      <c r="H937" s="2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</row>
    <row r="938" customFormat="false" ht="15.75" hidden="false" customHeight="true" outlineLevel="0" collapsed="false">
      <c r="A938" s="19"/>
      <c r="B938" s="20"/>
      <c r="C938" s="21"/>
      <c r="D938" s="21"/>
      <c r="E938" s="14"/>
      <c r="F938" s="22"/>
      <c r="G938" s="23"/>
      <c r="H938" s="2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</row>
    <row r="939" customFormat="false" ht="15.75" hidden="false" customHeight="true" outlineLevel="0" collapsed="false">
      <c r="A939" s="19"/>
      <c r="B939" s="20"/>
      <c r="C939" s="21"/>
      <c r="D939" s="21"/>
      <c r="E939" s="14"/>
      <c r="F939" s="22"/>
      <c r="G939" s="23"/>
      <c r="H939" s="2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</row>
    <row r="940" customFormat="false" ht="15.75" hidden="false" customHeight="true" outlineLevel="0" collapsed="false">
      <c r="A940" s="19"/>
      <c r="B940" s="20"/>
      <c r="C940" s="21"/>
      <c r="D940" s="21"/>
      <c r="E940" s="14"/>
      <c r="F940" s="22"/>
      <c r="G940" s="23"/>
      <c r="H940" s="2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</row>
    <row r="941" customFormat="false" ht="15.75" hidden="false" customHeight="true" outlineLevel="0" collapsed="false">
      <c r="A941" s="19"/>
      <c r="B941" s="20"/>
      <c r="C941" s="21"/>
      <c r="D941" s="21"/>
      <c r="E941" s="14"/>
      <c r="F941" s="22"/>
      <c r="G941" s="23"/>
      <c r="H941" s="2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</row>
    <row r="942" customFormat="false" ht="15.75" hidden="false" customHeight="true" outlineLevel="0" collapsed="false">
      <c r="A942" s="19"/>
      <c r="B942" s="20"/>
      <c r="C942" s="21"/>
      <c r="D942" s="21"/>
      <c r="E942" s="14"/>
      <c r="F942" s="22"/>
      <c r="G942" s="23"/>
      <c r="H942" s="2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</row>
    <row r="943" customFormat="false" ht="15.75" hidden="false" customHeight="true" outlineLevel="0" collapsed="false">
      <c r="A943" s="19"/>
      <c r="B943" s="20"/>
      <c r="C943" s="21"/>
      <c r="D943" s="21"/>
      <c r="E943" s="14"/>
      <c r="F943" s="22"/>
      <c r="G943" s="23"/>
      <c r="H943" s="2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</row>
    <row r="944" customFormat="false" ht="15.75" hidden="false" customHeight="true" outlineLevel="0" collapsed="false">
      <c r="A944" s="19"/>
      <c r="B944" s="20"/>
      <c r="C944" s="21"/>
      <c r="D944" s="21"/>
      <c r="E944" s="14"/>
      <c r="F944" s="22"/>
      <c r="G944" s="23"/>
      <c r="H944" s="2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</row>
    <row r="945" customFormat="false" ht="15.75" hidden="false" customHeight="true" outlineLevel="0" collapsed="false">
      <c r="A945" s="19"/>
      <c r="B945" s="20"/>
      <c r="C945" s="21"/>
      <c r="D945" s="21"/>
      <c r="E945" s="14"/>
      <c r="F945" s="22"/>
      <c r="G945" s="23"/>
      <c r="H945" s="2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</row>
    <row r="946" customFormat="false" ht="15.75" hidden="false" customHeight="true" outlineLevel="0" collapsed="false">
      <c r="A946" s="19"/>
      <c r="B946" s="20"/>
      <c r="C946" s="21"/>
      <c r="D946" s="21"/>
      <c r="E946" s="14"/>
      <c r="F946" s="22"/>
      <c r="G946" s="23"/>
      <c r="H946" s="2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</row>
    <row r="947" customFormat="false" ht="15.75" hidden="false" customHeight="true" outlineLevel="0" collapsed="false">
      <c r="A947" s="19"/>
      <c r="B947" s="20"/>
      <c r="C947" s="21"/>
      <c r="D947" s="21"/>
      <c r="E947" s="14"/>
      <c r="F947" s="22"/>
      <c r="G947" s="23"/>
      <c r="H947" s="2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</row>
    <row r="948" customFormat="false" ht="15.75" hidden="false" customHeight="true" outlineLevel="0" collapsed="false">
      <c r="A948" s="19"/>
      <c r="B948" s="20"/>
      <c r="C948" s="21"/>
      <c r="D948" s="21"/>
      <c r="E948" s="14"/>
      <c r="F948" s="22"/>
      <c r="G948" s="23"/>
      <c r="H948" s="2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</row>
    <row r="949" customFormat="false" ht="15.75" hidden="false" customHeight="true" outlineLevel="0" collapsed="false">
      <c r="A949" s="19"/>
      <c r="B949" s="20"/>
      <c r="C949" s="21"/>
      <c r="D949" s="21"/>
      <c r="E949" s="14"/>
      <c r="F949" s="22"/>
      <c r="G949" s="23"/>
      <c r="H949" s="2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</row>
    <row r="950" customFormat="false" ht="15.75" hidden="false" customHeight="true" outlineLevel="0" collapsed="false">
      <c r="A950" s="19"/>
      <c r="B950" s="20"/>
      <c r="C950" s="21"/>
      <c r="D950" s="21"/>
      <c r="E950" s="14"/>
      <c r="F950" s="22"/>
      <c r="G950" s="23"/>
      <c r="H950" s="2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</row>
    <row r="951" customFormat="false" ht="15.75" hidden="false" customHeight="true" outlineLevel="0" collapsed="false">
      <c r="A951" s="19"/>
      <c r="B951" s="20"/>
      <c r="C951" s="21"/>
      <c r="D951" s="21"/>
      <c r="E951" s="14"/>
      <c r="F951" s="22"/>
      <c r="G951" s="23"/>
      <c r="H951" s="2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</row>
    <row r="952" customFormat="false" ht="15.75" hidden="false" customHeight="true" outlineLevel="0" collapsed="false">
      <c r="A952" s="19"/>
      <c r="B952" s="20"/>
      <c r="C952" s="21"/>
      <c r="D952" s="21"/>
      <c r="E952" s="14"/>
      <c r="F952" s="22"/>
      <c r="G952" s="23"/>
      <c r="H952" s="2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</row>
    <row r="953" customFormat="false" ht="15.75" hidden="false" customHeight="true" outlineLevel="0" collapsed="false">
      <c r="A953" s="19"/>
      <c r="B953" s="20"/>
      <c r="C953" s="21"/>
      <c r="D953" s="21"/>
      <c r="E953" s="14"/>
      <c r="F953" s="22"/>
      <c r="G953" s="23"/>
      <c r="H953" s="2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</row>
    <row r="954" customFormat="false" ht="15.75" hidden="false" customHeight="true" outlineLevel="0" collapsed="false">
      <c r="A954" s="19"/>
      <c r="B954" s="20"/>
      <c r="C954" s="21"/>
      <c r="D954" s="21"/>
      <c r="E954" s="14"/>
      <c r="F954" s="22"/>
      <c r="G954" s="23"/>
      <c r="H954" s="2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</row>
    <row r="955" customFormat="false" ht="15.75" hidden="false" customHeight="true" outlineLevel="0" collapsed="false">
      <c r="A955" s="19"/>
      <c r="B955" s="20"/>
      <c r="C955" s="21"/>
      <c r="D955" s="21"/>
      <c r="E955" s="14"/>
      <c r="F955" s="22"/>
      <c r="G955" s="23"/>
      <c r="H955" s="2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</row>
    <row r="956" customFormat="false" ht="15.75" hidden="false" customHeight="true" outlineLevel="0" collapsed="false">
      <c r="A956" s="19"/>
      <c r="B956" s="20"/>
      <c r="C956" s="21"/>
      <c r="D956" s="21"/>
      <c r="E956" s="14"/>
      <c r="F956" s="22"/>
      <c r="G956" s="23"/>
      <c r="H956" s="2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</row>
    <row r="957" customFormat="false" ht="15.75" hidden="false" customHeight="true" outlineLevel="0" collapsed="false">
      <c r="A957" s="19"/>
      <c r="B957" s="20"/>
      <c r="C957" s="21"/>
      <c r="D957" s="21"/>
      <c r="E957" s="14"/>
      <c r="F957" s="22"/>
      <c r="G957" s="23"/>
      <c r="H957" s="2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</row>
    <row r="958" customFormat="false" ht="15.75" hidden="false" customHeight="true" outlineLevel="0" collapsed="false">
      <c r="A958" s="19"/>
      <c r="B958" s="20"/>
      <c r="C958" s="21"/>
      <c r="D958" s="21"/>
      <c r="E958" s="14"/>
      <c r="F958" s="22"/>
      <c r="G958" s="23"/>
      <c r="H958" s="2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</row>
    <row r="959" customFormat="false" ht="15.75" hidden="false" customHeight="true" outlineLevel="0" collapsed="false">
      <c r="A959" s="19"/>
      <c r="B959" s="20"/>
      <c r="C959" s="21"/>
      <c r="D959" s="21"/>
      <c r="E959" s="14"/>
      <c r="F959" s="22"/>
      <c r="G959" s="23"/>
      <c r="H959" s="2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</row>
    <row r="960" customFormat="false" ht="15.75" hidden="false" customHeight="true" outlineLevel="0" collapsed="false">
      <c r="A960" s="19"/>
      <c r="B960" s="20"/>
      <c r="C960" s="21"/>
      <c r="D960" s="21"/>
      <c r="E960" s="14"/>
      <c r="F960" s="22"/>
      <c r="G960" s="23"/>
      <c r="H960" s="2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</row>
    <row r="961" customFormat="false" ht="15.75" hidden="false" customHeight="true" outlineLevel="0" collapsed="false">
      <c r="A961" s="19"/>
      <c r="B961" s="20"/>
      <c r="C961" s="21"/>
      <c r="D961" s="21"/>
      <c r="E961" s="14"/>
      <c r="F961" s="22"/>
      <c r="G961" s="23"/>
      <c r="H961" s="2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</row>
    <row r="962" customFormat="false" ht="15.75" hidden="false" customHeight="true" outlineLevel="0" collapsed="false">
      <c r="A962" s="19"/>
      <c r="B962" s="20"/>
      <c r="C962" s="21"/>
      <c r="D962" s="21"/>
      <c r="E962" s="14"/>
      <c r="F962" s="22"/>
      <c r="G962" s="23"/>
      <c r="H962" s="2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</row>
    <row r="963" customFormat="false" ht="15.75" hidden="false" customHeight="true" outlineLevel="0" collapsed="false">
      <c r="A963" s="19"/>
      <c r="B963" s="20"/>
      <c r="C963" s="21"/>
      <c r="D963" s="21"/>
      <c r="E963" s="14"/>
      <c r="F963" s="22"/>
      <c r="G963" s="23"/>
      <c r="H963" s="2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</row>
    <row r="964" customFormat="false" ht="15.75" hidden="false" customHeight="true" outlineLevel="0" collapsed="false">
      <c r="A964" s="19"/>
      <c r="B964" s="20"/>
      <c r="C964" s="21"/>
      <c r="D964" s="21"/>
      <c r="E964" s="14"/>
      <c r="F964" s="22"/>
      <c r="G964" s="23"/>
      <c r="H964" s="2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</row>
    <row r="965" customFormat="false" ht="15.75" hidden="false" customHeight="true" outlineLevel="0" collapsed="false">
      <c r="A965" s="19"/>
      <c r="B965" s="20"/>
      <c r="C965" s="21"/>
      <c r="D965" s="21"/>
      <c r="E965" s="14"/>
      <c r="F965" s="22"/>
      <c r="G965" s="23"/>
      <c r="H965" s="2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</row>
    <row r="966" customFormat="false" ht="15.75" hidden="false" customHeight="true" outlineLevel="0" collapsed="false">
      <c r="A966" s="19"/>
      <c r="B966" s="20"/>
      <c r="C966" s="21"/>
      <c r="D966" s="21"/>
      <c r="E966" s="14"/>
      <c r="F966" s="22"/>
      <c r="G966" s="23"/>
      <c r="H966" s="2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</row>
    <row r="967" customFormat="false" ht="15.75" hidden="false" customHeight="true" outlineLevel="0" collapsed="false">
      <c r="A967" s="19"/>
      <c r="B967" s="20"/>
      <c r="C967" s="21"/>
      <c r="D967" s="21"/>
      <c r="E967" s="14"/>
      <c r="F967" s="22"/>
      <c r="G967" s="23"/>
      <c r="H967" s="2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</row>
    <row r="968" customFormat="false" ht="15.75" hidden="false" customHeight="true" outlineLevel="0" collapsed="false">
      <c r="A968" s="19"/>
      <c r="B968" s="20"/>
      <c r="C968" s="21"/>
      <c r="D968" s="21"/>
      <c r="E968" s="14"/>
      <c r="F968" s="22"/>
      <c r="G968" s="23"/>
      <c r="H968" s="2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</row>
    <row r="969" customFormat="false" ht="15.75" hidden="false" customHeight="true" outlineLevel="0" collapsed="false">
      <c r="A969" s="19"/>
      <c r="B969" s="20"/>
      <c r="C969" s="21"/>
      <c r="D969" s="21"/>
      <c r="E969" s="14"/>
      <c r="F969" s="22"/>
      <c r="G969" s="23"/>
      <c r="H969" s="2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</row>
    <row r="970" customFormat="false" ht="15.75" hidden="false" customHeight="true" outlineLevel="0" collapsed="false">
      <c r="A970" s="19"/>
      <c r="B970" s="20"/>
      <c r="C970" s="21"/>
      <c r="D970" s="21"/>
      <c r="E970" s="14"/>
      <c r="F970" s="22"/>
      <c r="G970" s="23"/>
      <c r="H970" s="2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</row>
    <row r="971" customFormat="false" ht="15.75" hidden="false" customHeight="true" outlineLevel="0" collapsed="false">
      <c r="A971" s="19"/>
      <c r="B971" s="20"/>
      <c r="C971" s="21"/>
      <c r="D971" s="21"/>
      <c r="E971" s="14"/>
      <c r="F971" s="22"/>
      <c r="G971" s="23"/>
      <c r="H971" s="2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</row>
    <row r="972" customFormat="false" ht="15.75" hidden="false" customHeight="true" outlineLevel="0" collapsed="false">
      <c r="A972" s="19"/>
      <c r="B972" s="20"/>
      <c r="C972" s="21"/>
      <c r="D972" s="21"/>
      <c r="E972" s="14"/>
      <c r="F972" s="22"/>
      <c r="G972" s="23"/>
      <c r="H972" s="2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</row>
    <row r="973" customFormat="false" ht="15.75" hidden="false" customHeight="true" outlineLevel="0" collapsed="false">
      <c r="A973" s="19"/>
      <c r="B973" s="20"/>
      <c r="C973" s="21"/>
      <c r="D973" s="21"/>
      <c r="E973" s="14"/>
      <c r="F973" s="22"/>
      <c r="G973" s="23"/>
      <c r="H973" s="2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</row>
    <row r="974" customFormat="false" ht="15.75" hidden="false" customHeight="true" outlineLevel="0" collapsed="false">
      <c r="A974" s="19"/>
      <c r="B974" s="20"/>
      <c r="C974" s="21"/>
      <c r="D974" s="21"/>
      <c r="E974" s="14"/>
      <c r="F974" s="22"/>
      <c r="G974" s="23"/>
      <c r="H974" s="2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</row>
    <row r="975" customFormat="false" ht="15.75" hidden="false" customHeight="true" outlineLevel="0" collapsed="false">
      <c r="A975" s="19"/>
      <c r="B975" s="20"/>
      <c r="C975" s="21"/>
      <c r="D975" s="21"/>
      <c r="E975" s="14"/>
      <c r="F975" s="22"/>
      <c r="G975" s="23"/>
      <c r="H975" s="2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</row>
    <row r="976" customFormat="false" ht="15.75" hidden="false" customHeight="true" outlineLevel="0" collapsed="false">
      <c r="A976" s="19"/>
      <c r="B976" s="20"/>
      <c r="C976" s="21"/>
      <c r="D976" s="21"/>
      <c r="E976" s="14"/>
      <c r="F976" s="22"/>
      <c r="G976" s="23"/>
      <c r="H976" s="2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</row>
    <row r="977" customFormat="false" ht="15.75" hidden="false" customHeight="true" outlineLevel="0" collapsed="false">
      <c r="A977" s="19"/>
      <c r="B977" s="20"/>
      <c r="C977" s="21"/>
      <c r="D977" s="21"/>
      <c r="E977" s="14"/>
      <c r="F977" s="22"/>
      <c r="G977" s="23"/>
      <c r="H977" s="2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</row>
    <row r="978" customFormat="false" ht="15.75" hidden="false" customHeight="true" outlineLevel="0" collapsed="false">
      <c r="A978" s="19"/>
      <c r="B978" s="20"/>
      <c r="C978" s="21"/>
      <c r="D978" s="21"/>
      <c r="E978" s="14"/>
      <c r="F978" s="22"/>
      <c r="G978" s="23"/>
      <c r="H978" s="2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</row>
    <row r="979" customFormat="false" ht="15.75" hidden="false" customHeight="true" outlineLevel="0" collapsed="false">
      <c r="A979" s="19"/>
      <c r="B979" s="20"/>
      <c r="C979" s="21"/>
      <c r="D979" s="21"/>
      <c r="E979" s="14"/>
      <c r="F979" s="22"/>
      <c r="G979" s="23"/>
      <c r="H979" s="2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</row>
    <row r="980" customFormat="false" ht="15.75" hidden="false" customHeight="true" outlineLevel="0" collapsed="false">
      <c r="A980" s="19"/>
      <c r="B980" s="20"/>
      <c r="C980" s="21"/>
      <c r="D980" s="21"/>
      <c r="E980" s="14"/>
      <c r="F980" s="22"/>
      <c r="G980" s="23"/>
      <c r="H980" s="2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</row>
    <row r="981" customFormat="false" ht="15.75" hidden="false" customHeight="true" outlineLevel="0" collapsed="false">
      <c r="A981" s="19"/>
      <c r="B981" s="20"/>
      <c r="C981" s="21"/>
      <c r="D981" s="21"/>
      <c r="E981" s="14"/>
      <c r="F981" s="22"/>
      <c r="G981" s="23"/>
      <c r="H981" s="2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</row>
    <row r="982" customFormat="false" ht="15.75" hidden="false" customHeight="true" outlineLevel="0" collapsed="false">
      <c r="A982" s="19"/>
      <c r="B982" s="20"/>
      <c r="C982" s="21"/>
      <c r="D982" s="21"/>
      <c r="E982" s="14"/>
      <c r="F982" s="22"/>
      <c r="G982" s="23"/>
      <c r="H982" s="2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</row>
    <row r="983" customFormat="false" ht="15.75" hidden="false" customHeight="true" outlineLevel="0" collapsed="false">
      <c r="A983" s="19"/>
      <c r="B983" s="20"/>
      <c r="C983" s="21"/>
      <c r="D983" s="21"/>
      <c r="E983" s="14"/>
      <c r="F983" s="22"/>
      <c r="G983" s="23"/>
      <c r="H983" s="2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</row>
    <row r="984" customFormat="false" ht="15.75" hidden="false" customHeight="true" outlineLevel="0" collapsed="false">
      <c r="A984" s="19"/>
      <c r="B984" s="20"/>
      <c r="C984" s="21"/>
      <c r="D984" s="21"/>
      <c r="E984" s="14"/>
      <c r="F984" s="22"/>
      <c r="G984" s="23"/>
      <c r="H984" s="2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</row>
    <row r="985" customFormat="false" ht="15.75" hidden="false" customHeight="true" outlineLevel="0" collapsed="false">
      <c r="A985" s="19"/>
      <c r="B985" s="20"/>
      <c r="C985" s="21"/>
      <c r="D985" s="21"/>
      <c r="E985" s="14"/>
      <c r="F985" s="22"/>
      <c r="G985" s="23"/>
      <c r="H985" s="2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</row>
    <row r="986" customFormat="false" ht="15.75" hidden="false" customHeight="true" outlineLevel="0" collapsed="false">
      <c r="A986" s="19"/>
      <c r="B986" s="20"/>
      <c r="C986" s="21"/>
      <c r="D986" s="21"/>
      <c r="E986" s="14"/>
      <c r="F986" s="22"/>
      <c r="G986" s="23"/>
      <c r="H986" s="2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</row>
    <row r="987" customFormat="false" ht="15.75" hidden="false" customHeight="true" outlineLevel="0" collapsed="false">
      <c r="A987" s="19"/>
      <c r="B987" s="20"/>
      <c r="C987" s="21"/>
      <c r="D987" s="21"/>
      <c r="E987" s="14"/>
      <c r="F987" s="22"/>
      <c r="G987" s="23"/>
      <c r="H987" s="2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</row>
    <row r="988" customFormat="false" ht="15.75" hidden="false" customHeight="true" outlineLevel="0" collapsed="false">
      <c r="A988" s="19"/>
      <c r="B988" s="20"/>
      <c r="C988" s="21"/>
      <c r="D988" s="21"/>
      <c r="E988" s="14"/>
      <c r="F988" s="22"/>
      <c r="G988" s="23"/>
      <c r="H988" s="2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</row>
    <row r="989" customFormat="false" ht="15.75" hidden="false" customHeight="true" outlineLevel="0" collapsed="false">
      <c r="A989" s="19"/>
      <c r="B989" s="20"/>
      <c r="C989" s="21"/>
      <c r="D989" s="21"/>
      <c r="E989" s="14"/>
      <c r="F989" s="22"/>
      <c r="G989" s="23"/>
      <c r="H989" s="2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</row>
    <row r="990" customFormat="false" ht="15.75" hidden="false" customHeight="true" outlineLevel="0" collapsed="false">
      <c r="A990" s="19"/>
      <c r="B990" s="20"/>
      <c r="C990" s="21"/>
      <c r="D990" s="21"/>
      <c r="E990" s="14"/>
      <c r="F990" s="22"/>
      <c r="G990" s="23"/>
      <c r="H990" s="2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</row>
    <row r="991" customFormat="false" ht="15.75" hidden="false" customHeight="true" outlineLevel="0" collapsed="false">
      <c r="A991" s="19"/>
      <c r="B991" s="20"/>
      <c r="C991" s="21"/>
      <c r="D991" s="21"/>
      <c r="E991" s="14"/>
      <c r="F991" s="22"/>
      <c r="G991" s="23"/>
      <c r="H991" s="2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</row>
    <row r="992" customFormat="false" ht="15.75" hidden="false" customHeight="true" outlineLevel="0" collapsed="false">
      <c r="A992" s="19"/>
      <c r="B992" s="20"/>
      <c r="C992" s="21"/>
      <c r="D992" s="21"/>
      <c r="E992" s="14"/>
      <c r="F992" s="22"/>
      <c r="G992" s="23"/>
      <c r="H992" s="2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</row>
    <row r="993" customFormat="false" ht="15.75" hidden="false" customHeight="true" outlineLevel="0" collapsed="false">
      <c r="A993" s="19"/>
      <c r="B993" s="20"/>
      <c r="C993" s="21"/>
      <c r="D993" s="21"/>
      <c r="E993" s="14"/>
      <c r="F993" s="22"/>
      <c r="G993" s="23"/>
      <c r="H993" s="2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</row>
    <row r="994" customFormat="false" ht="15.75" hidden="false" customHeight="true" outlineLevel="0" collapsed="false">
      <c r="A994" s="19"/>
      <c r="B994" s="20"/>
      <c r="C994" s="21"/>
      <c r="D994" s="21"/>
      <c r="E994" s="14"/>
      <c r="F994" s="22"/>
      <c r="G994" s="23"/>
      <c r="H994" s="2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</row>
    <row r="995" customFormat="false" ht="15.75" hidden="false" customHeight="true" outlineLevel="0" collapsed="false">
      <c r="A995" s="19"/>
      <c r="B995" s="20"/>
      <c r="C995" s="21"/>
      <c r="D995" s="21"/>
      <c r="E995" s="14"/>
      <c r="F995" s="22"/>
      <c r="G995" s="23"/>
      <c r="H995" s="2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</row>
    <row r="996" customFormat="false" ht="15.75" hidden="false" customHeight="true" outlineLevel="0" collapsed="false">
      <c r="A996" s="19"/>
      <c r="B996" s="20"/>
      <c r="C996" s="21"/>
      <c r="D996" s="21"/>
      <c r="E996" s="14"/>
      <c r="F996" s="22"/>
      <c r="G996" s="23"/>
      <c r="H996" s="2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</row>
    <row r="997" customFormat="false" ht="15.75" hidden="false" customHeight="true" outlineLevel="0" collapsed="false">
      <c r="A997" s="19"/>
      <c r="B997" s="20"/>
      <c r="C997" s="21"/>
      <c r="D997" s="21"/>
      <c r="E997" s="14"/>
      <c r="F997" s="22"/>
      <c r="G997" s="23"/>
      <c r="H997" s="2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</row>
    <row r="998" customFormat="false" ht="15.75" hidden="false" customHeight="true" outlineLevel="0" collapsed="false">
      <c r="A998" s="19"/>
      <c r="B998" s="20"/>
      <c r="C998" s="21"/>
      <c r="D998" s="21"/>
      <c r="E998" s="14"/>
      <c r="F998" s="22"/>
      <c r="G998" s="23"/>
      <c r="H998" s="2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</row>
    <row r="999" customFormat="false" ht="15.75" hidden="false" customHeight="true" outlineLevel="0" collapsed="false">
      <c r="A999" s="19"/>
      <c r="B999" s="20"/>
      <c r="C999" s="21"/>
      <c r="D999" s="21"/>
      <c r="E999" s="14"/>
      <c r="F999" s="22"/>
      <c r="G999" s="23"/>
      <c r="H999" s="2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</row>
    <row r="1000" customFormat="false" ht="15.75" hidden="false" customHeight="true" outlineLevel="0" collapsed="false">
      <c r="A1000" s="19"/>
      <c r="B1000" s="20"/>
      <c r="C1000" s="21"/>
      <c r="D1000" s="21"/>
      <c r="E1000" s="14"/>
      <c r="F1000" s="22"/>
      <c r="G1000" s="23"/>
      <c r="H1000" s="2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</row>
    <row r="1001" customFormat="false" ht="15.75" hidden="false" customHeight="true" outlineLevel="0" collapsed="false">
      <c r="A1001" s="19"/>
      <c r="B1001" s="20"/>
      <c r="C1001" s="21"/>
      <c r="D1001" s="21"/>
      <c r="E1001" s="14"/>
      <c r="F1001" s="22"/>
      <c r="G1001" s="23"/>
      <c r="H1001" s="2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</row>
    <row r="1002" customFormat="false" ht="15.75" hidden="false" customHeight="true" outlineLevel="0" collapsed="false">
      <c r="A1002" s="19"/>
      <c r="B1002" s="20"/>
      <c r="C1002" s="21"/>
      <c r="D1002" s="21"/>
      <c r="E1002" s="14"/>
      <c r="F1002" s="22"/>
      <c r="G1002" s="23"/>
      <c r="H1002" s="2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</row>
    <row r="1003" customFormat="false" ht="15.75" hidden="false" customHeight="true" outlineLevel="0" collapsed="false">
      <c r="A1003" s="19"/>
      <c r="B1003" s="20"/>
      <c r="C1003" s="21"/>
      <c r="D1003" s="21"/>
      <c r="E1003" s="14"/>
      <c r="F1003" s="22"/>
      <c r="G1003" s="23"/>
      <c r="H1003" s="2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</row>
    <row r="1004" customFormat="false" ht="15.75" hidden="false" customHeight="true" outlineLevel="0" collapsed="false">
      <c r="A1004" s="19"/>
      <c r="B1004" s="20"/>
      <c r="C1004" s="21"/>
      <c r="D1004" s="21"/>
      <c r="E1004" s="14"/>
      <c r="F1004" s="22"/>
      <c r="G1004" s="23"/>
      <c r="H1004" s="2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</row>
    <row r="1005" customFormat="false" ht="15.75" hidden="false" customHeight="true" outlineLevel="0" collapsed="false">
      <c r="A1005" s="19"/>
      <c r="B1005" s="20"/>
      <c r="C1005" s="21"/>
      <c r="D1005" s="21"/>
      <c r="E1005" s="14"/>
      <c r="F1005" s="22"/>
      <c r="G1005" s="23"/>
      <c r="H1005" s="2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</row>
    <row r="1006" customFormat="false" ht="15.75" hidden="false" customHeight="true" outlineLevel="0" collapsed="false">
      <c r="A1006" s="19"/>
      <c r="B1006" s="20"/>
      <c r="C1006" s="21"/>
      <c r="D1006" s="21"/>
      <c r="E1006" s="14"/>
      <c r="F1006" s="22"/>
      <c r="G1006" s="23"/>
      <c r="H1006" s="2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</row>
    <row r="1007" customFormat="false" ht="15.75" hidden="false" customHeight="true" outlineLevel="0" collapsed="false">
      <c r="A1007" s="19"/>
      <c r="B1007" s="20"/>
      <c r="C1007" s="21"/>
      <c r="D1007" s="21"/>
      <c r="E1007" s="14"/>
      <c r="F1007" s="22"/>
      <c r="G1007" s="23"/>
      <c r="H1007" s="2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</row>
    <row r="1008" customFormat="false" ht="15.75" hidden="false" customHeight="true" outlineLevel="0" collapsed="false">
      <c r="A1008" s="19"/>
      <c r="B1008" s="20"/>
      <c r="C1008" s="21"/>
      <c r="D1008" s="21"/>
      <c r="E1008" s="14"/>
      <c r="F1008" s="22"/>
      <c r="G1008" s="23"/>
      <c r="H1008" s="2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</row>
    <row r="1009" customFormat="false" ht="15.75" hidden="false" customHeight="true" outlineLevel="0" collapsed="false">
      <c r="A1009" s="19"/>
      <c r="B1009" s="20"/>
      <c r="C1009" s="21"/>
      <c r="D1009" s="21"/>
      <c r="E1009" s="14"/>
      <c r="F1009" s="22"/>
      <c r="G1009" s="23"/>
      <c r="H1009" s="2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</row>
    <row r="1010" customFormat="false" ht="15.75" hidden="false" customHeight="true" outlineLevel="0" collapsed="false">
      <c r="A1010" s="19"/>
      <c r="B1010" s="20"/>
      <c r="C1010" s="21"/>
      <c r="D1010" s="21"/>
      <c r="E1010" s="14"/>
      <c r="F1010" s="22"/>
      <c r="G1010" s="23"/>
      <c r="H1010" s="2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</row>
    <row r="1011" customFormat="false" ht="15.75" hidden="false" customHeight="true" outlineLevel="0" collapsed="false">
      <c r="A1011" s="19"/>
      <c r="B1011" s="20"/>
      <c r="C1011" s="21"/>
      <c r="D1011" s="21"/>
      <c r="E1011" s="14"/>
      <c r="F1011" s="22"/>
      <c r="G1011" s="23"/>
      <c r="H1011" s="2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</row>
    <row r="1012" customFormat="false" ht="15.75" hidden="false" customHeight="true" outlineLevel="0" collapsed="false">
      <c r="A1012" s="19"/>
      <c r="B1012" s="20"/>
      <c r="C1012" s="21"/>
      <c r="D1012" s="21"/>
      <c r="E1012" s="14"/>
      <c r="F1012" s="22"/>
      <c r="G1012" s="23"/>
      <c r="H1012" s="2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</row>
    <row r="1013" customFormat="false" ht="15.75" hidden="false" customHeight="true" outlineLevel="0" collapsed="false">
      <c r="A1013" s="19"/>
      <c r="B1013" s="20"/>
      <c r="C1013" s="21"/>
      <c r="D1013" s="21"/>
      <c r="E1013" s="14"/>
      <c r="F1013" s="22"/>
      <c r="G1013" s="23"/>
      <c r="H1013" s="2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</row>
    <row r="1014" customFormat="false" ht="15.75" hidden="false" customHeight="true" outlineLevel="0" collapsed="false">
      <c r="A1014" s="19"/>
      <c r="B1014" s="20"/>
      <c r="C1014" s="21"/>
      <c r="D1014" s="21"/>
      <c r="E1014" s="14"/>
      <c r="F1014" s="22"/>
      <c r="G1014" s="23"/>
      <c r="H1014" s="2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</row>
    <row r="1015" customFormat="false" ht="15.75" hidden="false" customHeight="true" outlineLevel="0" collapsed="false">
      <c r="A1015" s="19"/>
      <c r="B1015" s="20"/>
      <c r="C1015" s="21"/>
      <c r="D1015" s="21"/>
      <c r="E1015" s="14"/>
      <c r="F1015" s="22"/>
      <c r="G1015" s="23"/>
      <c r="H1015" s="2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</row>
    <row r="1016" customFormat="false" ht="15.75" hidden="false" customHeight="true" outlineLevel="0" collapsed="false">
      <c r="A1016" s="19"/>
      <c r="B1016" s="20"/>
      <c r="C1016" s="21"/>
      <c r="D1016" s="21"/>
      <c r="E1016" s="14"/>
      <c r="F1016" s="22"/>
      <c r="G1016" s="23"/>
      <c r="H1016" s="2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</row>
    <row r="1017" customFormat="false" ht="15.75" hidden="false" customHeight="true" outlineLevel="0" collapsed="false">
      <c r="A1017" s="19"/>
      <c r="B1017" s="20"/>
      <c r="C1017" s="21"/>
      <c r="D1017" s="21"/>
      <c r="E1017" s="14"/>
      <c r="F1017" s="22"/>
      <c r="G1017" s="23"/>
      <c r="H1017" s="2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</row>
    <row r="1018" customFormat="false" ht="15.75" hidden="false" customHeight="true" outlineLevel="0" collapsed="false">
      <c r="A1018" s="19"/>
      <c r="B1018" s="20"/>
      <c r="C1018" s="21"/>
      <c r="D1018" s="21"/>
      <c r="E1018" s="14"/>
      <c r="F1018" s="22"/>
      <c r="G1018" s="23"/>
      <c r="H1018" s="2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</row>
    <row r="1019" customFormat="false" ht="15.75" hidden="false" customHeight="true" outlineLevel="0" collapsed="false">
      <c r="A1019" s="19"/>
      <c r="B1019" s="20"/>
      <c r="C1019" s="21"/>
      <c r="D1019" s="21"/>
      <c r="E1019" s="14"/>
      <c r="F1019" s="22"/>
      <c r="G1019" s="23"/>
      <c r="H1019" s="2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</row>
    <row r="1020" customFormat="false" ht="15.75" hidden="false" customHeight="true" outlineLevel="0" collapsed="false">
      <c r="A1020" s="19"/>
      <c r="B1020" s="20"/>
      <c r="C1020" s="21"/>
      <c r="D1020" s="21"/>
      <c r="E1020" s="14"/>
      <c r="F1020" s="22"/>
      <c r="G1020" s="23"/>
      <c r="H1020" s="2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</row>
    <row r="1021" customFormat="false" ht="15.75" hidden="false" customHeight="true" outlineLevel="0" collapsed="false">
      <c r="A1021" s="19"/>
      <c r="B1021" s="20"/>
      <c r="C1021" s="21"/>
      <c r="D1021" s="21"/>
      <c r="E1021" s="14"/>
      <c r="F1021" s="22"/>
      <c r="G1021" s="23"/>
      <c r="H1021" s="2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</row>
    <row r="1022" customFormat="false" ht="15.75" hidden="false" customHeight="true" outlineLevel="0" collapsed="false">
      <c r="A1022" s="19"/>
      <c r="B1022" s="20"/>
      <c r="C1022" s="21"/>
      <c r="D1022" s="21"/>
      <c r="E1022" s="14"/>
      <c r="F1022" s="22"/>
      <c r="G1022" s="23"/>
      <c r="H1022" s="2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</row>
    <row r="1023" customFormat="false" ht="15.75" hidden="false" customHeight="true" outlineLevel="0" collapsed="false">
      <c r="A1023" s="19"/>
      <c r="B1023" s="20"/>
      <c r="C1023" s="21"/>
      <c r="D1023" s="21"/>
      <c r="E1023" s="14"/>
      <c r="F1023" s="22"/>
      <c r="G1023" s="23"/>
      <c r="H1023" s="2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</row>
    <row r="1024" customFormat="false" ht="15.75" hidden="false" customHeight="true" outlineLevel="0" collapsed="false">
      <c r="A1024" s="19"/>
      <c r="B1024" s="20"/>
      <c r="C1024" s="21"/>
      <c r="D1024" s="21"/>
      <c r="E1024" s="14"/>
      <c r="F1024" s="22"/>
      <c r="G1024" s="23"/>
      <c r="H1024" s="2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</row>
    <row r="1025" customFormat="false" ht="15.75" hidden="false" customHeight="true" outlineLevel="0" collapsed="false">
      <c r="A1025" s="19"/>
      <c r="B1025" s="20"/>
      <c r="C1025" s="21"/>
      <c r="D1025" s="21"/>
      <c r="E1025" s="14"/>
      <c r="F1025" s="22"/>
      <c r="G1025" s="23"/>
      <c r="H1025" s="2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</row>
    <row r="1026" customFormat="false" ht="15.75" hidden="false" customHeight="true" outlineLevel="0" collapsed="false">
      <c r="A1026" s="19"/>
      <c r="B1026" s="20"/>
      <c r="C1026" s="21"/>
      <c r="D1026" s="21"/>
      <c r="E1026" s="14"/>
      <c r="F1026" s="22"/>
      <c r="G1026" s="23"/>
      <c r="H1026" s="2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</row>
    <row r="1027" customFormat="false" ht="15.75" hidden="false" customHeight="true" outlineLevel="0" collapsed="false">
      <c r="A1027" s="19"/>
      <c r="B1027" s="20"/>
      <c r="C1027" s="21"/>
      <c r="D1027" s="21"/>
      <c r="E1027" s="14"/>
      <c r="F1027" s="22"/>
      <c r="G1027" s="23"/>
      <c r="H1027" s="2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</row>
    <row r="1028" customFormat="false" ht="15.75" hidden="false" customHeight="true" outlineLevel="0" collapsed="false">
      <c r="A1028" s="19"/>
      <c r="B1028" s="20"/>
      <c r="C1028" s="21"/>
      <c r="D1028" s="21"/>
      <c r="E1028" s="14"/>
      <c r="F1028" s="22"/>
      <c r="G1028" s="23"/>
      <c r="H1028" s="2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</row>
    <row r="1029" customFormat="false" ht="15.75" hidden="false" customHeight="true" outlineLevel="0" collapsed="false">
      <c r="A1029" s="19"/>
      <c r="B1029" s="20"/>
      <c r="C1029" s="21"/>
      <c r="D1029" s="21"/>
      <c r="E1029" s="14"/>
      <c r="F1029" s="22"/>
      <c r="G1029" s="23"/>
      <c r="H1029" s="2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</row>
    <row r="1030" customFormat="false" ht="15.75" hidden="false" customHeight="true" outlineLevel="0" collapsed="false">
      <c r="A1030" s="19"/>
      <c r="B1030" s="20"/>
      <c r="C1030" s="21"/>
      <c r="D1030" s="21"/>
      <c r="E1030" s="14"/>
      <c r="F1030" s="22"/>
      <c r="G1030" s="23"/>
      <c r="H1030" s="2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</row>
    <row r="1031" customFormat="false" ht="15.75" hidden="false" customHeight="true" outlineLevel="0" collapsed="false">
      <c r="A1031" s="19"/>
      <c r="B1031" s="20"/>
      <c r="C1031" s="21"/>
      <c r="D1031" s="21"/>
      <c r="E1031" s="14"/>
      <c r="F1031" s="22"/>
      <c r="G1031" s="23"/>
      <c r="H1031" s="2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</row>
    <row r="1032" customFormat="false" ht="15.75" hidden="false" customHeight="true" outlineLevel="0" collapsed="false">
      <c r="A1032" s="19"/>
      <c r="B1032" s="20"/>
      <c r="C1032" s="21"/>
      <c r="D1032" s="21"/>
      <c r="E1032" s="14"/>
      <c r="F1032" s="22"/>
      <c r="G1032" s="23"/>
      <c r="H1032" s="2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</row>
    <row r="1033" customFormat="false" ht="15.75" hidden="false" customHeight="true" outlineLevel="0" collapsed="false">
      <c r="A1033" s="19"/>
      <c r="B1033" s="20"/>
      <c r="C1033" s="21"/>
      <c r="D1033" s="21"/>
      <c r="E1033" s="14"/>
      <c r="F1033" s="22"/>
      <c r="G1033" s="23"/>
      <c r="H1033" s="2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</row>
    <row r="1034" customFormat="false" ht="15.75" hidden="false" customHeight="true" outlineLevel="0" collapsed="false">
      <c r="A1034" s="19"/>
      <c r="B1034" s="20"/>
      <c r="C1034" s="21"/>
      <c r="D1034" s="21"/>
      <c r="E1034" s="14"/>
      <c r="F1034" s="22"/>
      <c r="G1034" s="23"/>
      <c r="H1034" s="2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</row>
    <row r="1035" customFormat="false" ht="15.75" hidden="false" customHeight="true" outlineLevel="0" collapsed="false">
      <c r="A1035" s="19"/>
      <c r="B1035" s="20"/>
      <c r="C1035" s="21"/>
      <c r="D1035" s="21"/>
      <c r="E1035" s="14"/>
      <c r="F1035" s="22"/>
      <c r="G1035" s="23"/>
      <c r="H1035" s="2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</row>
    <row r="1036" customFormat="false" ht="15.75" hidden="false" customHeight="true" outlineLevel="0" collapsed="false">
      <c r="A1036" s="19"/>
      <c r="B1036" s="20"/>
      <c r="C1036" s="21"/>
      <c r="D1036" s="21"/>
      <c r="E1036" s="14"/>
      <c r="F1036" s="22"/>
      <c r="G1036" s="23"/>
      <c r="H1036" s="2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</row>
    <row r="1037" customFormat="false" ht="15.75" hidden="false" customHeight="true" outlineLevel="0" collapsed="false">
      <c r="A1037" s="19"/>
      <c r="B1037" s="20"/>
      <c r="C1037" s="21"/>
      <c r="D1037" s="21"/>
      <c r="E1037" s="14"/>
      <c r="F1037" s="22"/>
      <c r="G1037" s="23"/>
      <c r="H1037" s="2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</row>
    <row r="1038" customFormat="false" ht="15.75" hidden="false" customHeight="true" outlineLevel="0" collapsed="false">
      <c r="A1038" s="19"/>
      <c r="B1038" s="20"/>
      <c r="C1038" s="21"/>
      <c r="D1038" s="21"/>
      <c r="E1038" s="14"/>
      <c r="F1038" s="22"/>
      <c r="G1038" s="23"/>
      <c r="H1038" s="2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</row>
    <row r="1039" customFormat="false" ht="15.75" hidden="false" customHeight="true" outlineLevel="0" collapsed="false">
      <c r="A1039" s="19"/>
      <c r="B1039" s="20"/>
      <c r="C1039" s="21"/>
      <c r="D1039" s="21"/>
      <c r="E1039" s="14"/>
      <c r="F1039" s="22"/>
      <c r="G1039" s="23"/>
      <c r="H1039" s="2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</row>
    <row r="1040" customFormat="false" ht="15.75" hidden="false" customHeight="true" outlineLevel="0" collapsed="false">
      <c r="A1040" s="19"/>
      <c r="B1040" s="20"/>
      <c r="C1040" s="21"/>
      <c r="D1040" s="21"/>
      <c r="E1040" s="14"/>
      <c r="F1040" s="22"/>
      <c r="G1040" s="23"/>
      <c r="H1040" s="2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</row>
    <row r="1041" customFormat="false" ht="15.75" hidden="false" customHeight="true" outlineLevel="0" collapsed="false">
      <c r="A1041" s="19"/>
      <c r="B1041" s="20"/>
      <c r="C1041" s="21"/>
      <c r="D1041" s="21"/>
      <c r="E1041" s="14"/>
      <c r="F1041" s="22"/>
      <c r="G1041" s="23"/>
      <c r="H1041" s="2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</row>
    <row r="1042" customFormat="false" ht="15.75" hidden="false" customHeight="true" outlineLevel="0" collapsed="false">
      <c r="A1042" s="19"/>
      <c r="B1042" s="20"/>
      <c r="C1042" s="21"/>
      <c r="D1042" s="21"/>
      <c r="E1042" s="14"/>
      <c r="F1042" s="22"/>
      <c r="G1042" s="23"/>
      <c r="H1042" s="2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</row>
    <row r="1043" customFormat="false" ht="15.75" hidden="false" customHeight="true" outlineLevel="0" collapsed="false">
      <c r="A1043" s="19"/>
      <c r="B1043" s="20"/>
      <c r="C1043" s="21"/>
      <c r="D1043" s="21"/>
      <c r="E1043" s="14"/>
      <c r="F1043" s="22"/>
      <c r="G1043" s="23"/>
      <c r="H1043" s="2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</row>
    <row r="1044" customFormat="false" ht="15.75" hidden="false" customHeight="true" outlineLevel="0" collapsed="false">
      <c r="A1044" s="19"/>
      <c r="B1044" s="20"/>
      <c r="C1044" s="21"/>
      <c r="D1044" s="21"/>
      <c r="E1044" s="14"/>
      <c r="F1044" s="22"/>
      <c r="G1044" s="23"/>
      <c r="H1044" s="2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</row>
    <row r="1045" customFormat="false" ht="15.75" hidden="false" customHeight="true" outlineLevel="0" collapsed="false">
      <c r="A1045" s="19"/>
      <c r="B1045" s="20"/>
      <c r="C1045" s="21"/>
      <c r="D1045" s="21"/>
      <c r="E1045" s="14"/>
      <c r="F1045" s="22"/>
      <c r="G1045" s="23"/>
      <c r="H1045" s="2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</row>
    <row r="1046" customFormat="false" ht="15.75" hidden="false" customHeight="true" outlineLevel="0" collapsed="false">
      <c r="A1046" s="19"/>
      <c r="B1046" s="20"/>
      <c r="C1046" s="21"/>
      <c r="D1046" s="21"/>
      <c r="E1046" s="14"/>
      <c r="F1046" s="22"/>
      <c r="G1046" s="23"/>
      <c r="H1046" s="2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</row>
    <row r="1047" customFormat="false" ht="15.75" hidden="false" customHeight="true" outlineLevel="0" collapsed="false">
      <c r="A1047" s="19"/>
      <c r="B1047" s="20"/>
      <c r="C1047" s="21"/>
      <c r="D1047" s="21"/>
      <c r="E1047" s="14"/>
      <c r="F1047" s="22"/>
      <c r="G1047" s="23"/>
      <c r="H1047" s="2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</row>
    <row r="1048" customFormat="false" ht="15.75" hidden="false" customHeight="true" outlineLevel="0" collapsed="false">
      <c r="A1048" s="19"/>
      <c r="B1048" s="20"/>
      <c r="C1048" s="21"/>
      <c r="D1048" s="21"/>
      <c r="E1048" s="14"/>
      <c r="F1048" s="22"/>
      <c r="G1048" s="23"/>
      <c r="H1048" s="2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</row>
    <row r="1049" customFormat="false" ht="15.75" hidden="false" customHeight="true" outlineLevel="0" collapsed="false">
      <c r="A1049" s="19"/>
      <c r="B1049" s="20"/>
      <c r="C1049" s="21"/>
      <c r="D1049" s="21"/>
      <c r="E1049" s="14"/>
      <c r="F1049" s="22"/>
      <c r="G1049" s="23"/>
      <c r="H1049" s="2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</row>
    <row r="1050" customFormat="false" ht="15.75" hidden="false" customHeight="true" outlineLevel="0" collapsed="false">
      <c r="A1050" s="19"/>
      <c r="B1050" s="20"/>
      <c r="C1050" s="21"/>
      <c r="D1050" s="21"/>
      <c r="E1050" s="14"/>
      <c r="F1050" s="22"/>
      <c r="G1050" s="23"/>
      <c r="H1050" s="2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</row>
    <row r="1051" customFormat="false" ht="15.75" hidden="false" customHeight="true" outlineLevel="0" collapsed="false">
      <c r="A1051" s="19"/>
      <c r="B1051" s="20"/>
      <c r="C1051" s="21"/>
      <c r="D1051" s="21"/>
      <c r="E1051" s="14"/>
      <c r="F1051" s="22"/>
      <c r="G1051" s="23"/>
      <c r="H1051" s="2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</row>
    <row r="1052" customFormat="false" ht="15.75" hidden="false" customHeight="true" outlineLevel="0" collapsed="false">
      <c r="A1052" s="19"/>
      <c r="B1052" s="20"/>
      <c r="C1052" s="21"/>
      <c r="D1052" s="21"/>
      <c r="E1052" s="14"/>
      <c r="F1052" s="22"/>
      <c r="G1052" s="23"/>
      <c r="H1052" s="2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</row>
    <row r="1053" customFormat="false" ht="15.75" hidden="false" customHeight="true" outlineLevel="0" collapsed="false">
      <c r="A1053" s="19"/>
      <c r="B1053" s="20"/>
      <c r="C1053" s="21"/>
      <c r="D1053" s="21"/>
      <c r="E1053" s="14"/>
      <c r="F1053" s="22"/>
      <c r="G1053" s="23"/>
      <c r="H1053" s="2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</row>
    <row r="1054" customFormat="false" ht="15.75" hidden="false" customHeight="true" outlineLevel="0" collapsed="false">
      <c r="A1054" s="19"/>
      <c r="B1054" s="20"/>
      <c r="C1054" s="21"/>
      <c r="D1054" s="21"/>
      <c r="E1054" s="14"/>
      <c r="F1054" s="22"/>
      <c r="G1054" s="23"/>
      <c r="H1054" s="2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</row>
    <row r="1055" customFormat="false" ht="15.75" hidden="false" customHeight="true" outlineLevel="0" collapsed="false">
      <c r="A1055" s="19"/>
      <c r="B1055" s="20"/>
      <c r="C1055" s="21"/>
      <c r="D1055" s="21"/>
      <c r="E1055" s="14"/>
      <c r="F1055" s="22"/>
      <c r="G1055" s="23"/>
      <c r="H1055" s="2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</row>
    <row r="1056" customFormat="false" ht="15.75" hidden="false" customHeight="true" outlineLevel="0" collapsed="false">
      <c r="A1056" s="19"/>
      <c r="B1056" s="20"/>
      <c r="C1056" s="21"/>
      <c r="D1056" s="21"/>
      <c r="E1056" s="14"/>
      <c r="F1056" s="22"/>
      <c r="G1056" s="23"/>
      <c r="H1056" s="2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</row>
    <row r="1057" customFormat="false" ht="15.75" hidden="false" customHeight="true" outlineLevel="0" collapsed="false">
      <c r="A1057" s="19"/>
      <c r="B1057" s="20"/>
      <c r="C1057" s="21"/>
      <c r="D1057" s="21"/>
      <c r="E1057" s="14"/>
      <c r="F1057" s="22"/>
      <c r="G1057" s="23"/>
      <c r="H1057" s="2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</row>
    <row r="1058" customFormat="false" ht="15.75" hidden="false" customHeight="true" outlineLevel="0" collapsed="false">
      <c r="A1058" s="19"/>
      <c r="B1058" s="20"/>
      <c r="C1058" s="21"/>
      <c r="D1058" s="21"/>
      <c r="E1058" s="14"/>
      <c r="F1058" s="22"/>
      <c r="G1058" s="23"/>
      <c r="H1058" s="2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</row>
    <row r="1059" customFormat="false" ht="15.75" hidden="false" customHeight="true" outlineLevel="0" collapsed="false">
      <c r="A1059" s="19"/>
      <c r="B1059" s="20"/>
      <c r="C1059" s="21"/>
      <c r="D1059" s="21"/>
      <c r="E1059" s="14"/>
      <c r="F1059" s="22"/>
      <c r="G1059" s="23"/>
      <c r="H1059" s="2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</row>
    <row r="1060" customFormat="false" ht="15.75" hidden="false" customHeight="true" outlineLevel="0" collapsed="false">
      <c r="A1060" s="19"/>
      <c r="B1060" s="20"/>
      <c r="C1060" s="21"/>
      <c r="D1060" s="21"/>
      <c r="E1060" s="14"/>
      <c r="F1060" s="22"/>
      <c r="G1060" s="23"/>
      <c r="H1060" s="2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</row>
    <row r="1061" customFormat="false" ht="15.75" hidden="false" customHeight="true" outlineLevel="0" collapsed="false">
      <c r="A1061" s="19"/>
      <c r="B1061" s="20"/>
      <c r="C1061" s="21"/>
      <c r="D1061" s="21"/>
      <c r="E1061" s="14"/>
      <c r="F1061" s="22"/>
      <c r="G1061" s="23"/>
      <c r="H1061" s="2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</row>
    <row r="1062" customFormat="false" ht="15.75" hidden="false" customHeight="true" outlineLevel="0" collapsed="false">
      <c r="A1062" s="19"/>
      <c r="B1062" s="20"/>
      <c r="C1062" s="21"/>
      <c r="D1062" s="21"/>
      <c r="E1062" s="14"/>
      <c r="F1062" s="22"/>
      <c r="G1062" s="23"/>
      <c r="H1062" s="2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</row>
    <row r="1063" customFormat="false" ht="15.75" hidden="false" customHeight="true" outlineLevel="0" collapsed="false">
      <c r="A1063" s="19"/>
      <c r="B1063" s="20"/>
      <c r="C1063" s="21"/>
      <c r="D1063" s="21"/>
      <c r="E1063" s="14"/>
      <c r="F1063" s="22"/>
      <c r="G1063" s="23"/>
      <c r="H1063" s="2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</row>
    <row r="1064" customFormat="false" ht="15.75" hidden="false" customHeight="true" outlineLevel="0" collapsed="false">
      <c r="A1064" s="19"/>
      <c r="B1064" s="20"/>
      <c r="C1064" s="21"/>
      <c r="D1064" s="21"/>
      <c r="E1064" s="14"/>
      <c r="F1064" s="22"/>
      <c r="G1064" s="23"/>
      <c r="H1064" s="2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</row>
    <row r="1065" customFormat="false" ht="15.75" hidden="false" customHeight="true" outlineLevel="0" collapsed="false">
      <c r="A1065" s="19"/>
      <c r="B1065" s="20"/>
      <c r="C1065" s="21"/>
      <c r="D1065" s="21"/>
      <c r="E1065" s="14"/>
      <c r="F1065" s="22"/>
      <c r="G1065" s="23"/>
      <c r="H1065" s="2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</row>
    <row r="1066" customFormat="false" ht="15.75" hidden="false" customHeight="true" outlineLevel="0" collapsed="false">
      <c r="A1066" s="19"/>
      <c r="B1066" s="20"/>
      <c r="C1066" s="21"/>
      <c r="D1066" s="21"/>
      <c r="E1066" s="14"/>
      <c r="F1066" s="22"/>
      <c r="G1066" s="23"/>
      <c r="H1066" s="2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</row>
    <row r="1067" customFormat="false" ht="15.75" hidden="false" customHeight="true" outlineLevel="0" collapsed="false">
      <c r="A1067" s="19"/>
      <c r="B1067" s="20"/>
      <c r="C1067" s="21"/>
      <c r="D1067" s="21"/>
      <c r="E1067" s="14"/>
      <c r="F1067" s="22"/>
      <c r="G1067" s="23"/>
      <c r="H1067" s="2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</row>
    <row r="1068" customFormat="false" ht="15.75" hidden="false" customHeight="true" outlineLevel="0" collapsed="false">
      <c r="A1068" s="19"/>
      <c r="B1068" s="20"/>
      <c r="C1068" s="21"/>
      <c r="D1068" s="21"/>
      <c r="E1068" s="14"/>
      <c r="F1068" s="22"/>
      <c r="G1068" s="23"/>
      <c r="H1068" s="2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</row>
    <row r="1069" customFormat="false" ht="15.75" hidden="false" customHeight="true" outlineLevel="0" collapsed="false">
      <c r="A1069" s="19"/>
      <c r="B1069" s="20"/>
      <c r="C1069" s="21"/>
      <c r="D1069" s="21"/>
      <c r="E1069" s="14"/>
      <c r="F1069" s="22"/>
      <c r="G1069" s="23"/>
      <c r="H1069" s="2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</row>
    <row r="1070" customFormat="false" ht="15.75" hidden="false" customHeight="true" outlineLevel="0" collapsed="false">
      <c r="A1070" s="19"/>
      <c r="B1070" s="20"/>
      <c r="C1070" s="21"/>
      <c r="D1070" s="21"/>
      <c r="E1070" s="14"/>
      <c r="F1070" s="22"/>
      <c r="G1070" s="23"/>
      <c r="H1070" s="2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</row>
    <row r="1071" customFormat="false" ht="15.75" hidden="false" customHeight="true" outlineLevel="0" collapsed="false">
      <c r="A1071" s="19"/>
      <c r="B1071" s="20"/>
      <c r="C1071" s="21"/>
      <c r="D1071" s="21"/>
      <c r="E1071" s="14"/>
      <c r="F1071" s="22"/>
      <c r="G1071" s="23"/>
      <c r="H1071" s="2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</row>
    <row r="1072" customFormat="false" ht="15.75" hidden="false" customHeight="true" outlineLevel="0" collapsed="false">
      <c r="A1072" s="19"/>
      <c r="B1072" s="20"/>
      <c r="C1072" s="21"/>
      <c r="D1072" s="21"/>
      <c r="E1072" s="14"/>
      <c r="F1072" s="22"/>
      <c r="G1072" s="23"/>
      <c r="H1072" s="2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</row>
    <row r="1073" customFormat="false" ht="15.75" hidden="false" customHeight="true" outlineLevel="0" collapsed="false">
      <c r="A1073" s="19"/>
      <c r="B1073" s="20"/>
      <c r="C1073" s="21"/>
      <c r="D1073" s="21"/>
      <c r="E1073" s="14"/>
      <c r="F1073" s="22"/>
      <c r="G1073" s="23"/>
      <c r="H1073" s="2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</row>
    <row r="1074" customFormat="false" ht="15.75" hidden="false" customHeight="true" outlineLevel="0" collapsed="false">
      <c r="A1074" s="19"/>
      <c r="B1074" s="20"/>
      <c r="C1074" s="21"/>
      <c r="D1074" s="21"/>
      <c r="E1074" s="14"/>
      <c r="F1074" s="22"/>
      <c r="G1074" s="23"/>
      <c r="H1074" s="2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</row>
    <row r="1075" customFormat="false" ht="15.75" hidden="false" customHeight="true" outlineLevel="0" collapsed="false">
      <c r="A1075" s="19"/>
      <c r="B1075" s="20"/>
      <c r="C1075" s="21"/>
      <c r="D1075" s="21"/>
      <c r="E1075" s="14"/>
      <c r="F1075" s="22"/>
      <c r="G1075" s="23"/>
      <c r="H1075" s="2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</row>
    <row r="1076" customFormat="false" ht="15.75" hidden="false" customHeight="true" outlineLevel="0" collapsed="false">
      <c r="A1076" s="19"/>
      <c r="B1076" s="20"/>
      <c r="C1076" s="21"/>
      <c r="D1076" s="21"/>
      <c r="E1076" s="14"/>
      <c r="F1076" s="22"/>
      <c r="G1076" s="23"/>
      <c r="H1076" s="2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</row>
    <row r="1077" customFormat="false" ht="15.75" hidden="false" customHeight="true" outlineLevel="0" collapsed="false">
      <c r="A1077" s="19"/>
      <c r="B1077" s="20"/>
      <c r="C1077" s="21"/>
      <c r="D1077" s="21"/>
      <c r="E1077" s="14"/>
      <c r="F1077" s="22"/>
      <c r="G1077" s="23"/>
      <c r="H1077" s="2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</row>
    <row r="1078" customFormat="false" ht="15.75" hidden="false" customHeight="true" outlineLevel="0" collapsed="false">
      <c r="A1078" s="19"/>
      <c r="B1078" s="20"/>
      <c r="C1078" s="21"/>
      <c r="D1078" s="21"/>
      <c r="E1078" s="14"/>
      <c r="F1078" s="22"/>
      <c r="G1078" s="23"/>
      <c r="H1078" s="2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</row>
    <row r="1079" customFormat="false" ht="15.75" hidden="false" customHeight="true" outlineLevel="0" collapsed="false">
      <c r="A1079" s="19"/>
      <c r="B1079" s="20"/>
      <c r="C1079" s="21"/>
      <c r="D1079" s="21"/>
      <c r="E1079" s="14"/>
      <c r="F1079" s="22"/>
      <c r="G1079" s="23"/>
      <c r="H1079" s="2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</row>
    <row r="1080" customFormat="false" ht="15.75" hidden="false" customHeight="true" outlineLevel="0" collapsed="false">
      <c r="A1080" s="19"/>
      <c r="B1080" s="20"/>
      <c r="C1080" s="21"/>
      <c r="D1080" s="21"/>
      <c r="E1080" s="14"/>
      <c r="F1080" s="22"/>
      <c r="G1080" s="23"/>
      <c r="H1080" s="2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</row>
    <row r="1081" customFormat="false" ht="15.75" hidden="false" customHeight="true" outlineLevel="0" collapsed="false">
      <c r="A1081" s="19"/>
      <c r="B1081" s="20"/>
      <c r="C1081" s="21"/>
      <c r="D1081" s="21"/>
      <c r="E1081" s="14"/>
      <c r="F1081" s="22"/>
      <c r="G1081" s="23"/>
      <c r="H1081" s="2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</row>
    <row r="1082" customFormat="false" ht="15.75" hidden="false" customHeight="true" outlineLevel="0" collapsed="false">
      <c r="A1082" s="19"/>
      <c r="B1082" s="20"/>
      <c r="C1082" s="21"/>
      <c r="D1082" s="21"/>
      <c r="E1082" s="14"/>
      <c r="F1082" s="22"/>
      <c r="G1082" s="23"/>
      <c r="H1082" s="2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</row>
    <row r="1083" customFormat="false" ht="15.75" hidden="false" customHeight="true" outlineLevel="0" collapsed="false">
      <c r="A1083" s="19"/>
      <c r="B1083" s="20"/>
      <c r="C1083" s="21"/>
      <c r="D1083" s="21"/>
      <c r="E1083" s="14"/>
      <c r="F1083" s="22"/>
      <c r="G1083" s="23"/>
      <c r="H1083" s="2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</row>
    <row r="1084" customFormat="false" ht="15.75" hidden="false" customHeight="true" outlineLevel="0" collapsed="false">
      <c r="A1084" s="19"/>
      <c r="B1084" s="20"/>
      <c r="C1084" s="21"/>
      <c r="D1084" s="21"/>
      <c r="E1084" s="14"/>
      <c r="F1084" s="22"/>
      <c r="G1084" s="23"/>
      <c r="H1084" s="2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</row>
    <row r="1085" customFormat="false" ht="15.75" hidden="false" customHeight="true" outlineLevel="0" collapsed="false">
      <c r="A1085" s="19"/>
      <c r="B1085" s="20"/>
      <c r="C1085" s="21"/>
      <c r="D1085" s="21"/>
      <c r="E1085" s="14"/>
      <c r="F1085" s="22"/>
      <c r="G1085" s="23"/>
      <c r="H1085" s="2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</row>
    <row r="1086" customFormat="false" ht="15.75" hidden="false" customHeight="true" outlineLevel="0" collapsed="false">
      <c r="A1086" s="19"/>
      <c r="B1086" s="20"/>
      <c r="C1086" s="21"/>
      <c r="D1086" s="21"/>
      <c r="E1086" s="14"/>
      <c r="F1086" s="22"/>
      <c r="G1086" s="23"/>
      <c r="H1086" s="2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</row>
    <row r="1087" customFormat="false" ht="15.75" hidden="false" customHeight="true" outlineLevel="0" collapsed="false">
      <c r="A1087" s="19"/>
      <c r="B1087" s="20"/>
      <c r="C1087" s="21"/>
      <c r="D1087" s="21"/>
      <c r="E1087" s="14"/>
      <c r="F1087" s="22"/>
      <c r="G1087" s="23"/>
      <c r="H1087" s="2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</row>
    <row r="1088" customFormat="false" ht="15.75" hidden="false" customHeight="true" outlineLevel="0" collapsed="false">
      <c r="A1088" s="19"/>
      <c r="B1088" s="20"/>
      <c r="C1088" s="21"/>
      <c r="D1088" s="21"/>
      <c r="E1088" s="14"/>
      <c r="F1088" s="22"/>
      <c r="G1088" s="23"/>
      <c r="H1088" s="2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</row>
    <row r="1089" customFormat="false" ht="15.75" hidden="false" customHeight="true" outlineLevel="0" collapsed="false">
      <c r="A1089" s="19"/>
      <c r="B1089" s="20"/>
      <c r="C1089" s="21"/>
      <c r="D1089" s="21"/>
      <c r="E1089" s="14"/>
      <c r="F1089" s="22"/>
      <c r="G1089" s="23"/>
      <c r="H1089" s="2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</row>
    <row r="1090" customFormat="false" ht="15.75" hidden="false" customHeight="true" outlineLevel="0" collapsed="false">
      <c r="A1090" s="19"/>
      <c r="B1090" s="20"/>
      <c r="C1090" s="21"/>
      <c r="D1090" s="21"/>
      <c r="E1090" s="14"/>
      <c r="F1090" s="22"/>
      <c r="G1090" s="23"/>
      <c r="H1090" s="2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</row>
    <row r="1091" customFormat="false" ht="15.75" hidden="false" customHeight="true" outlineLevel="0" collapsed="false">
      <c r="A1091" s="19"/>
      <c r="B1091" s="20"/>
      <c r="C1091" s="21"/>
      <c r="D1091" s="21"/>
      <c r="E1091" s="14"/>
      <c r="F1091" s="22"/>
      <c r="G1091" s="23"/>
      <c r="H1091" s="2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</row>
    <row r="1092" customFormat="false" ht="15.75" hidden="false" customHeight="true" outlineLevel="0" collapsed="false">
      <c r="A1092" s="19"/>
      <c r="B1092" s="20"/>
      <c r="C1092" s="21"/>
      <c r="D1092" s="21"/>
      <c r="E1092" s="14"/>
      <c r="F1092" s="22"/>
      <c r="G1092" s="23"/>
      <c r="H1092" s="2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</row>
    <row r="1093" customFormat="false" ht="15.75" hidden="false" customHeight="true" outlineLevel="0" collapsed="false">
      <c r="A1093" s="19"/>
      <c r="B1093" s="20"/>
      <c r="C1093" s="21"/>
      <c r="D1093" s="21"/>
      <c r="E1093" s="14"/>
      <c r="F1093" s="22"/>
      <c r="G1093" s="23"/>
      <c r="H1093" s="2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</row>
    <row r="1094" customFormat="false" ht="15.75" hidden="false" customHeight="true" outlineLevel="0" collapsed="false">
      <c r="A1094" s="19"/>
      <c r="B1094" s="20"/>
      <c r="C1094" s="21"/>
      <c r="D1094" s="21"/>
      <c r="E1094" s="14"/>
      <c r="F1094" s="22"/>
      <c r="G1094" s="23"/>
      <c r="H1094" s="2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</row>
    <row r="1095" customFormat="false" ht="15.75" hidden="false" customHeight="true" outlineLevel="0" collapsed="false">
      <c r="A1095" s="19"/>
      <c r="B1095" s="20"/>
      <c r="C1095" s="21"/>
      <c r="D1095" s="21"/>
      <c r="E1095" s="14"/>
      <c r="F1095" s="22"/>
      <c r="G1095" s="23"/>
      <c r="H1095" s="2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</row>
    <row r="1096" customFormat="false" ht="15.75" hidden="false" customHeight="true" outlineLevel="0" collapsed="false">
      <c r="A1096" s="19"/>
      <c r="B1096" s="20"/>
      <c r="C1096" s="21"/>
      <c r="D1096" s="21"/>
      <c r="E1096" s="14"/>
      <c r="F1096" s="22"/>
      <c r="G1096" s="23"/>
      <c r="H1096" s="2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</row>
    <row r="1097" customFormat="false" ht="15.75" hidden="false" customHeight="true" outlineLevel="0" collapsed="false">
      <c r="A1097" s="19"/>
      <c r="B1097" s="20"/>
      <c r="C1097" s="21"/>
      <c r="D1097" s="21"/>
      <c r="E1097" s="14"/>
      <c r="F1097" s="22"/>
      <c r="G1097" s="23"/>
      <c r="H1097" s="2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</row>
    <row r="1098" customFormat="false" ht="15.75" hidden="false" customHeight="true" outlineLevel="0" collapsed="false">
      <c r="A1098" s="19"/>
      <c r="B1098" s="20"/>
      <c r="C1098" s="21"/>
      <c r="D1098" s="21"/>
      <c r="E1098" s="14"/>
      <c r="F1098" s="22"/>
      <c r="G1098" s="23"/>
      <c r="H1098" s="2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</row>
    <row r="1099" customFormat="false" ht="15.75" hidden="false" customHeight="true" outlineLevel="0" collapsed="false">
      <c r="A1099" s="19"/>
      <c r="B1099" s="20"/>
      <c r="C1099" s="21"/>
      <c r="D1099" s="21"/>
      <c r="E1099" s="14"/>
      <c r="F1099" s="22"/>
      <c r="G1099" s="23"/>
      <c r="H1099" s="2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</row>
    <row r="1100" customFormat="false" ht="15.75" hidden="false" customHeight="true" outlineLevel="0" collapsed="false">
      <c r="A1100" s="19"/>
      <c r="B1100" s="20"/>
      <c r="C1100" s="21"/>
      <c r="D1100" s="21"/>
      <c r="E1100" s="14"/>
      <c r="F1100" s="22"/>
      <c r="G1100" s="23"/>
      <c r="H1100" s="2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</row>
    <row r="1101" customFormat="false" ht="15.75" hidden="false" customHeight="true" outlineLevel="0" collapsed="false">
      <c r="A1101" s="19"/>
      <c r="B1101" s="20"/>
      <c r="C1101" s="21"/>
      <c r="D1101" s="21"/>
      <c r="E1101" s="14"/>
      <c r="F1101" s="22"/>
      <c r="G1101" s="23"/>
      <c r="H1101" s="2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</row>
    <row r="1102" customFormat="false" ht="15.75" hidden="false" customHeight="true" outlineLevel="0" collapsed="false">
      <c r="A1102" s="19"/>
      <c r="B1102" s="20"/>
      <c r="C1102" s="21"/>
      <c r="D1102" s="21"/>
      <c r="E1102" s="14"/>
      <c r="F1102" s="22"/>
      <c r="G1102" s="23"/>
      <c r="H1102" s="2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</row>
    <row r="1103" customFormat="false" ht="15.75" hidden="false" customHeight="true" outlineLevel="0" collapsed="false">
      <c r="A1103" s="19"/>
      <c r="B1103" s="20"/>
      <c r="C1103" s="21"/>
      <c r="D1103" s="21"/>
      <c r="E1103" s="14"/>
      <c r="F1103" s="22"/>
      <c r="G1103" s="23"/>
      <c r="H1103" s="2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</row>
    <row r="1104" customFormat="false" ht="15.75" hidden="false" customHeight="true" outlineLevel="0" collapsed="false">
      <c r="A1104" s="19"/>
      <c r="B1104" s="20"/>
      <c r="C1104" s="21"/>
      <c r="D1104" s="21"/>
      <c r="E1104" s="14"/>
      <c r="F1104" s="22"/>
      <c r="G1104" s="23"/>
      <c r="H1104" s="2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</row>
    <row r="1105" customFormat="false" ht="15.75" hidden="false" customHeight="true" outlineLevel="0" collapsed="false">
      <c r="A1105" s="19"/>
      <c r="B1105" s="20"/>
      <c r="C1105" s="21"/>
      <c r="D1105" s="21"/>
      <c r="E1105" s="14"/>
      <c r="F1105" s="22"/>
      <c r="G1105" s="23"/>
      <c r="H1105" s="2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</row>
    <row r="1106" customFormat="false" ht="15.75" hidden="false" customHeight="true" outlineLevel="0" collapsed="false">
      <c r="A1106" s="19"/>
      <c r="B1106" s="20"/>
      <c r="C1106" s="21"/>
      <c r="D1106" s="21"/>
      <c r="E1106" s="14"/>
      <c r="F1106" s="22"/>
      <c r="G1106" s="23"/>
      <c r="H1106" s="2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</row>
    <row r="1107" customFormat="false" ht="15.75" hidden="false" customHeight="true" outlineLevel="0" collapsed="false">
      <c r="A1107" s="19"/>
      <c r="B1107" s="20"/>
      <c r="C1107" s="21"/>
      <c r="D1107" s="21"/>
      <c r="E1107" s="14"/>
      <c r="F1107" s="22"/>
      <c r="G1107" s="23"/>
      <c r="H1107" s="2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</row>
    <row r="1108" customFormat="false" ht="15.75" hidden="false" customHeight="true" outlineLevel="0" collapsed="false">
      <c r="A1108" s="19"/>
      <c r="B1108" s="20"/>
      <c r="C1108" s="21"/>
      <c r="D1108" s="21"/>
      <c r="E1108" s="14"/>
      <c r="F1108" s="22"/>
      <c r="G1108" s="23"/>
      <c r="H1108" s="2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</row>
    <row r="1109" customFormat="false" ht="15.75" hidden="false" customHeight="true" outlineLevel="0" collapsed="false">
      <c r="A1109" s="19"/>
      <c r="B1109" s="20"/>
      <c r="C1109" s="21"/>
      <c r="D1109" s="21"/>
      <c r="E1109" s="14"/>
      <c r="F1109" s="22"/>
      <c r="G1109" s="23"/>
      <c r="H1109" s="2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</row>
    <row r="1110" customFormat="false" ht="15.75" hidden="false" customHeight="true" outlineLevel="0" collapsed="false">
      <c r="A1110" s="19"/>
      <c r="B1110" s="20"/>
      <c r="C1110" s="21"/>
      <c r="D1110" s="21"/>
      <c r="E1110" s="14"/>
      <c r="F1110" s="22"/>
      <c r="G1110" s="23"/>
      <c r="H1110" s="2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</row>
    <row r="1111" customFormat="false" ht="15.75" hidden="false" customHeight="true" outlineLevel="0" collapsed="false">
      <c r="A1111" s="19"/>
      <c r="B1111" s="20"/>
      <c r="C1111" s="21"/>
      <c r="D1111" s="21"/>
      <c r="E1111" s="14"/>
      <c r="F1111" s="22"/>
      <c r="G1111" s="23"/>
      <c r="H1111" s="2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</row>
    <row r="1112" customFormat="false" ht="15.75" hidden="false" customHeight="true" outlineLevel="0" collapsed="false">
      <c r="A1112" s="19"/>
      <c r="B1112" s="20"/>
      <c r="C1112" s="21"/>
      <c r="D1112" s="21"/>
      <c r="E1112" s="14"/>
      <c r="F1112" s="22"/>
      <c r="G1112" s="23"/>
      <c r="H1112" s="2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</row>
    <row r="1113" customFormat="false" ht="15.75" hidden="false" customHeight="true" outlineLevel="0" collapsed="false">
      <c r="A1113" s="19"/>
      <c r="B1113" s="20"/>
      <c r="C1113" s="21"/>
      <c r="D1113" s="21"/>
      <c r="E1113" s="14"/>
      <c r="F1113" s="22"/>
      <c r="G1113" s="23"/>
      <c r="H1113" s="2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</row>
    <row r="1114" customFormat="false" ht="15.75" hidden="false" customHeight="true" outlineLevel="0" collapsed="false">
      <c r="A1114" s="19"/>
      <c r="B1114" s="20"/>
      <c r="C1114" s="21"/>
      <c r="D1114" s="21"/>
      <c r="E1114" s="14"/>
      <c r="F1114" s="22"/>
      <c r="G1114" s="23"/>
      <c r="H1114" s="2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</row>
    <row r="1115" customFormat="false" ht="15.75" hidden="false" customHeight="true" outlineLevel="0" collapsed="false">
      <c r="A1115" s="19"/>
      <c r="B1115" s="20"/>
      <c r="C1115" s="21"/>
      <c r="D1115" s="21"/>
      <c r="E1115" s="14"/>
      <c r="F1115" s="22"/>
      <c r="G1115" s="23"/>
      <c r="H1115" s="2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</row>
    <row r="1116" customFormat="false" ht="15.75" hidden="false" customHeight="true" outlineLevel="0" collapsed="false">
      <c r="A1116" s="19"/>
      <c r="B1116" s="20"/>
      <c r="C1116" s="21"/>
      <c r="D1116" s="21"/>
      <c r="E1116" s="14"/>
      <c r="F1116" s="22"/>
      <c r="G1116" s="23"/>
      <c r="H1116" s="2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</row>
    <row r="1117" customFormat="false" ht="15.75" hidden="false" customHeight="true" outlineLevel="0" collapsed="false">
      <c r="A1117" s="19"/>
      <c r="B1117" s="20"/>
      <c r="C1117" s="21"/>
      <c r="D1117" s="21"/>
      <c r="E1117" s="14"/>
      <c r="F1117" s="22"/>
      <c r="G1117" s="23"/>
      <c r="H1117" s="2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</row>
    <row r="1118" customFormat="false" ht="15.75" hidden="false" customHeight="true" outlineLevel="0" collapsed="false">
      <c r="A1118" s="19"/>
      <c r="B1118" s="20"/>
      <c r="C1118" s="21"/>
      <c r="D1118" s="21"/>
      <c r="E1118" s="14"/>
      <c r="F1118" s="22"/>
      <c r="G1118" s="23"/>
      <c r="H1118" s="2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</row>
    <row r="1119" customFormat="false" ht="15.75" hidden="false" customHeight="true" outlineLevel="0" collapsed="false">
      <c r="A1119" s="19"/>
      <c r="B1119" s="20"/>
      <c r="C1119" s="21"/>
      <c r="D1119" s="21"/>
      <c r="E1119" s="14"/>
      <c r="F1119" s="22"/>
      <c r="G1119" s="23"/>
      <c r="H1119" s="2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</row>
    <row r="1120" customFormat="false" ht="15.75" hidden="false" customHeight="true" outlineLevel="0" collapsed="false">
      <c r="A1120" s="19"/>
      <c r="B1120" s="20"/>
      <c r="C1120" s="21"/>
      <c r="D1120" s="21"/>
      <c r="E1120" s="14"/>
      <c r="F1120" s="22"/>
      <c r="G1120" s="23"/>
      <c r="H1120" s="2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</row>
    <row r="1121" customFormat="false" ht="15.75" hidden="false" customHeight="true" outlineLevel="0" collapsed="false">
      <c r="A1121" s="19"/>
      <c r="B1121" s="20"/>
      <c r="C1121" s="21"/>
      <c r="D1121" s="21"/>
      <c r="E1121" s="14"/>
      <c r="F1121" s="22"/>
      <c r="G1121" s="23"/>
      <c r="H1121" s="2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</row>
    <row r="1122" customFormat="false" ht="15.75" hidden="false" customHeight="true" outlineLevel="0" collapsed="false">
      <c r="A1122" s="19"/>
      <c r="B1122" s="20"/>
      <c r="C1122" s="21"/>
      <c r="D1122" s="21"/>
      <c r="E1122" s="14"/>
      <c r="F1122" s="22"/>
      <c r="G1122" s="23"/>
      <c r="H1122" s="2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</row>
    <row r="1123" customFormat="false" ht="15.75" hidden="false" customHeight="true" outlineLevel="0" collapsed="false">
      <c r="A1123" s="19"/>
      <c r="B1123" s="20"/>
      <c r="C1123" s="21"/>
      <c r="D1123" s="21"/>
      <c r="E1123" s="14"/>
      <c r="F1123" s="22"/>
      <c r="G1123" s="23"/>
      <c r="H1123" s="2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</row>
    <row r="1124" customFormat="false" ht="15.75" hidden="false" customHeight="true" outlineLevel="0" collapsed="false">
      <c r="A1124" s="19"/>
      <c r="B1124" s="20"/>
      <c r="C1124" s="21"/>
      <c r="D1124" s="21"/>
      <c r="E1124" s="14"/>
      <c r="F1124" s="22"/>
      <c r="G1124" s="23"/>
      <c r="H1124" s="2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</row>
    <row r="1125" customFormat="false" ht="15.75" hidden="false" customHeight="true" outlineLevel="0" collapsed="false">
      <c r="A1125" s="19"/>
      <c r="B1125" s="20"/>
      <c r="C1125" s="21"/>
      <c r="D1125" s="21"/>
      <c r="E1125" s="14"/>
      <c r="F1125" s="22"/>
      <c r="G1125" s="23"/>
      <c r="H1125" s="2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</row>
    <row r="1126" customFormat="false" ht="15.75" hidden="false" customHeight="true" outlineLevel="0" collapsed="false">
      <c r="A1126" s="19"/>
      <c r="B1126" s="20"/>
      <c r="C1126" s="21"/>
      <c r="D1126" s="21"/>
      <c r="E1126" s="14"/>
      <c r="F1126" s="22"/>
      <c r="G1126" s="23"/>
      <c r="H1126" s="2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</row>
    <row r="1127" customFormat="false" ht="15.75" hidden="false" customHeight="true" outlineLevel="0" collapsed="false">
      <c r="A1127" s="19"/>
      <c r="B1127" s="20"/>
      <c r="C1127" s="21"/>
      <c r="D1127" s="21"/>
      <c r="E1127" s="14"/>
      <c r="F1127" s="22"/>
      <c r="G1127" s="23"/>
      <c r="H1127" s="2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</row>
    <row r="1128" customFormat="false" ht="15.75" hidden="false" customHeight="true" outlineLevel="0" collapsed="false">
      <c r="A1128" s="19"/>
      <c r="B1128" s="20"/>
      <c r="C1128" s="21"/>
      <c r="D1128" s="21"/>
      <c r="E1128" s="14"/>
      <c r="F1128" s="22"/>
      <c r="G1128" s="23"/>
      <c r="H1128" s="2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</row>
    <row r="1129" customFormat="false" ht="15.75" hidden="false" customHeight="true" outlineLevel="0" collapsed="false">
      <c r="A1129" s="19"/>
      <c r="B1129" s="20"/>
      <c r="C1129" s="21"/>
      <c r="D1129" s="21"/>
      <c r="E1129" s="14"/>
      <c r="F1129" s="22"/>
      <c r="G1129" s="23"/>
      <c r="H1129" s="2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</row>
    <row r="1130" customFormat="false" ht="15.75" hidden="false" customHeight="true" outlineLevel="0" collapsed="false">
      <c r="A1130" s="19"/>
      <c r="B1130" s="20"/>
      <c r="C1130" s="21"/>
      <c r="D1130" s="21"/>
      <c r="E1130" s="14"/>
      <c r="F1130" s="22"/>
      <c r="G1130" s="23"/>
      <c r="H1130" s="2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</row>
    <row r="1131" customFormat="false" ht="15.75" hidden="false" customHeight="true" outlineLevel="0" collapsed="false">
      <c r="A1131" s="19"/>
      <c r="B1131" s="20"/>
      <c r="C1131" s="21"/>
      <c r="D1131" s="21"/>
      <c r="E1131" s="14"/>
      <c r="F1131" s="22"/>
      <c r="G1131" s="23"/>
      <c r="H1131" s="2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</row>
    <row r="1132" customFormat="false" ht="15.75" hidden="false" customHeight="true" outlineLevel="0" collapsed="false">
      <c r="A1132" s="19"/>
      <c r="B1132" s="20"/>
      <c r="C1132" s="21"/>
      <c r="D1132" s="21"/>
      <c r="E1132" s="14"/>
      <c r="F1132" s="22"/>
      <c r="G1132" s="23"/>
      <c r="H1132" s="2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</row>
    <row r="1133" customFormat="false" ht="15.75" hidden="false" customHeight="true" outlineLevel="0" collapsed="false">
      <c r="A1133" s="19"/>
      <c r="B1133" s="20"/>
      <c r="C1133" s="21"/>
      <c r="D1133" s="21"/>
      <c r="E1133" s="14"/>
      <c r="F1133" s="22"/>
      <c r="G1133" s="23"/>
      <c r="H1133" s="2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</row>
    <row r="1134" customFormat="false" ht="15.75" hidden="false" customHeight="true" outlineLevel="0" collapsed="false">
      <c r="A1134" s="19"/>
      <c r="B1134" s="20"/>
      <c r="C1134" s="21"/>
      <c r="D1134" s="21"/>
      <c r="E1134" s="14"/>
      <c r="F1134" s="22"/>
      <c r="G1134" s="23"/>
      <c r="H1134" s="2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</row>
    <row r="1135" customFormat="false" ht="15.75" hidden="false" customHeight="true" outlineLevel="0" collapsed="false">
      <c r="A1135" s="19"/>
      <c r="B1135" s="20"/>
      <c r="C1135" s="21"/>
      <c r="D1135" s="21"/>
      <c r="E1135" s="14"/>
      <c r="F1135" s="22"/>
      <c r="G1135" s="23"/>
      <c r="H1135" s="2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</row>
    <row r="1136" customFormat="false" ht="15.75" hidden="false" customHeight="true" outlineLevel="0" collapsed="false">
      <c r="A1136" s="19"/>
      <c r="B1136" s="20"/>
      <c r="C1136" s="21"/>
      <c r="D1136" s="21"/>
      <c r="E1136" s="14"/>
      <c r="F1136" s="22"/>
      <c r="G1136" s="23"/>
      <c r="H1136" s="2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</row>
    <row r="1137" customFormat="false" ht="15.75" hidden="false" customHeight="true" outlineLevel="0" collapsed="false">
      <c r="A1137" s="19"/>
      <c r="B1137" s="20"/>
      <c r="C1137" s="21"/>
      <c r="D1137" s="21"/>
      <c r="E1137" s="14"/>
      <c r="F1137" s="22"/>
      <c r="G1137" s="23"/>
      <c r="H1137" s="2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</row>
    <row r="1138" customFormat="false" ht="15.75" hidden="false" customHeight="true" outlineLevel="0" collapsed="false">
      <c r="A1138" s="19"/>
      <c r="B1138" s="20"/>
      <c r="C1138" s="21"/>
      <c r="D1138" s="21"/>
      <c r="E1138" s="14"/>
      <c r="F1138" s="22"/>
      <c r="G1138" s="23"/>
      <c r="H1138" s="2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</row>
    <row r="1139" customFormat="false" ht="15.75" hidden="false" customHeight="true" outlineLevel="0" collapsed="false">
      <c r="A1139" s="19"/>
      <c r="B1139" s="20"/>
      <c r="C1139" s="21"/>
      <c r="D1139" s="21"/>
      <c r="E1139" s="14"/>
      <c r="F1139" s="22"/>
      <c r="G1139" s="23"/>
      <c r="H1139" s="2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</row>
    <row r="1140" customFormat="false" ht="15.75" hidden="false" customHeight="true" outlineLevel="0" collapsed="false">
      <c r="A1140" s="19"/>
      <c r="B1140" s="20"/>
      <c r="C1140" s="21"/>
      <c r="D1140" s="21"/>
      <c r="E1140" s="14"/>
      <c r="F1140" s="22"/>
      <c r="G1140" s="23"/>
      <c r="H1140" s="2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</row>
    <row r="1141" customFormat="false" ht="15.75" hidden="false" customHeight="true" outlineLevel="0" collapsed="false">
      <c r="A1141" s="19"/>
      <c r="B1141" s="20"/>
      <c r="C1141" s="21"/>
      <c r="D1141" s="21"/>
      <c r="E1141" s="14"/>
      <c r="F1141" s="22"/>
      <c r="G1141" s="23"/>
      <c r="H1141" s="2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</row>
    <row r="1142" customFormat="false" ht="15.75" hidden="false" customHeight="true" outlineLevel="0" collapsed="false">
      <c r="A1142" s="19"/>
      <c r="B1142" s="20"/>
      <c r="C1142" s="21"/>
      <c r="D1142" s="21"/>
      <c r="E1142" s="14"/>
      <c r="F1142" s="22"/>
      <c r="G1142" s="23"/>
      <c r="H1142" s="2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</row>
    <row r="1143" customFormat="false" ht="15.75" hidden="false" customHeight="true" outlineLevel="0" collapsed="false">
      <c r="A1143" s="19"/>
      <c r="B1143" s="20"/>
      <c r="C1143" s="21"/>
      <c r="D1143" s="21"/>
      <c r="E1143" s="14"/>
      <c r="F1143" s="22"/>
      <c r="G1143" s="23"/>
      <c r="H1143" s="2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</row>
    <row r="1144" customFormat="false" ht="15.75" hidden="false" customHeight="true" outlineLevel="0" collapsed="false">
      <c r="A1144" s="19"/>
      <c r="B1144" s="20"/>
      <c r="C1144" s="21"/>
      <c r="D1144" s="21"/>
      <c r="E1144" s="14"/>
      <c r="F1144" s="22"/>
      <c r="G1144" s="23"/>
      <c r="H1144" s="2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</row>
    <row r="1145" customFormat="false" ht="15.75" hidden="false" customHeight="true" outlineLevel="0" collapsed="false">
      <c r="A1145" s="19"/>
      <c r="B1145" s="20"/>
      <c r="C1145" s="21"/>
      <c r="D1145" s="21"/>
      <c r="E1145" s="14"/>
      <c r="F1145" s="22"/>
      <c r="G1145" s="23"/>
      <c r="H1145" s="2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</row>
    <row r="1146" customFormat="false" ht="15.75" hidden="false" customHeight="true" outlineLevel="0" collapsed="false">
      <c r="A1146" s="19"/>
      <c r="B1146" s="20"/>
      <c r="C1146" s="21"/>
      <c r="D1146" s="21"/>
      <c r="E1146" s="14"/>
      <c r="F1146" s="22"/>
      <c r="G1146" s="23"/>
      <c r="H1146" s="2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</row>
    <row r="1147" customFormat="false" ht="15.75" hidden="false" customHeight="true" outlineLevel="0" collapsed="false">
      <c r="A1147" s="19"/>
      <c r="B1147" s="20"/>
      <c r="C1147" s="21"/>
      <c r="D1147" s="21"/>
      <c r="E1147" s="14"/>
      <c r="F1147" s="22"/>
      <c r="G1147" s="23"/>
      <c r="H1147" s="2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</row>
    <row r="1148" customFormat="false" ht="15.75" hidden="false" customHeight="true" outlineLevel="0" collapsed="false">
      <c r="A1148" s="19"/>
      <c r="B1148" s="20"/>
      <c r="C1148" s="21"/>
      <c r="D1148" s="21"/>
      <c r="E1148" s="14"/>
      <c r="F1148" s="22"/>
      <c r="G1148" s="23"/>
      <c r="H1148" s="2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</row>
    <row r="1149" customFormat="false" ht="15.75" hidden="false" customHeight="true" outlineLevel="0" collapsed="false">
      <c r="A1149" s="19"/>
      <c r="B1149" s="20"/>
      <c r="C1149" s="21"/>
      <c r="D1149" s="21"/>
      <c r="E1149" s="14"/>
      <c r="F1149" s="22"/>
      <c r="G1149" s="23"/>
      <c r="H1149" s="2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</row>
    <row r="1150" customFormat="false" ht="15.75" hidden="false" customHeight="true" outlineLevel="0" collapsed="false">
      <c r="A1150" s="19"/>
      <c r="B1150" s="20"/>
      <c r="C1150" s="21"/>
      <c r="D1150" s="21"/>
      <c r="E1150" s="14"/>
      <c r="F1150" s="22"/>
      <c r="G1150" s="23"/>
      <c r="H1150" s="2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</row>
    <row r="1151" customFormat="false" ht="15.75" hidden="false" customHeight="true" outlineLevel="0" collapsed="false">
      <c r="A1151" s="19"/>
      <c r="B1151" s="20"/>
      <c r="C1151" s="21"/>
      <c r="D1151" s="21"/>
      <c r="E1151" s="14"/>
      <c r="F1151" s="22"/>
      <c r="G1151" s="23"/>
      <c r="H1151" s="2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</row>
    <row r="1152" customFormat="false" ht="15.75" hidden="false" customHeight="true" outlineLevel="0" collapsed="false">
      <c r="A1152" s="19"/>
      <c r="B1152" s="20"/>
      <c r="C1152" s="21"/>
      <c r="D1152" s="21"/>
      <c r="E1152" s="14"/>
      <c r="F1152" s="22"/>
      <c r="G1152" s="23"/>
      <c r="H1152" s="2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</row>
    <row r="1153" customFormat="false" ht="15.75" hidden="false" customHeight="true" outlineLevel="0" collapsed="false">
      <c r="A1153" s="19"/>
      <c r="B1153" s="20"/>
      <c r="C1153" s="21"/>
      <c r="D1153" s="21"/>
      <c r="E1153" s="14"/>
      <c r="F1153" s="22"/>
      <c r="G1153" s="23"/>
      <c r="H1153" s="2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</row>
    <row r="1154" customFormat="false" ht="15.75" hidden="false" customHeight="true" outlineLevel="0" collapsed="false">
      <c r="A1154" s="19"/>
      <c r="B1154" s="20"/>
      <c r="C1154" s="21"/>
      <c r="D1154" s="21"/>
      <c r="E1154" s="14"/>
      <c r="F1154" s="22"/>
      <c r="G1154" s="23"/>
      <c r="H1154" s="2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</row>
    <row r="1155" customFormat="false" ht="15.75" hidden="false" customHeight="true" outlineLevel="0" collapsed="false">
      <c r="A1155" s="19"/>
      <c r="B1155" s="20"/>
      <c r="C1155" s="21"/>
      <c r="D1155" s="21"/>
      <c r="E1155" s="14"/>
      <c r="F1155" s="22"/>
      <c r="G1155" s="23"/>
      <c r="H1155" s="2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</row>
    <row r="1156" customFormat="false" ht="15.75" hidden="false" customHeight="true" outlineLevel="0" collapsed="false">
      <c r="A1156" s="19"/>
      <c r="B1156" s="20"/>
      <c r="C1156" s="21"/>
      <c r="D1156" s="21"/>
      <c r="E1156" s="14"/>
      <c r="F1156" s="22"/>
      <c r="G1156" s="23"/>
      <c r="H1156" s="2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</row>
    <row r="1157" customFormat="false" ht="15.75" hidden="false" customHeight="true" outlineLevel="0" collapsed="false">
      <c r="A1157" s="19"/>
      <c r="B1157" s="20"/>
      <c r="C1157" s="21"/>
      <c r="D1157" s="21"/>
      <c r="E1157" s="14"/>
      <c r="F1157" s="22"/>
      <c r="G1157" s="23"/>
      <c r="H1157" s="2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</row>
    <row r="1158" customFormat="false" ht="15.75" hidden="false" customHeight="true" outlineLevel="0" collapsed="false">
      <c r="A1158" s="19"/>
      <c r="B1158" s="20"/>
      <c r="C1158" s="21"/>
      <c r="D1158" s="21"/>
      <c r="E1158" s="14"/>
      <c r="F1158" s="22"/>
      <c r="G1158" s="23"/>
      <c r="H1158" s="2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</row>
    <row r="1159" customFormat="false" ht="15.75" hidden="false" customHeight="true" outlineLevel="0" collapsed="false">
      <c r="A1159" s="19"/>
      <c r="B1159" s="20"/>
      <c r="C1159" s="21"/>
      <c r="D1159" s="21"/>
      <c r="E1159" s="14"/>
      <c r="F1159" s="22"/>
      <c r="G1159" s="23"/>
      <c r="H1159" s="2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</row>
    <row r="1160" customFormat="false" ht="15.75" hidden="false" customHeight="true" outlineLevel="0" collapsed="false">
      <c r="A1160" s="19"/>
      <c r="B1160" s="20"/>
      <c r="C1160" s="21"/>
      <c r="D1160" s="21"/>
      <c r="E1160" s="14"/>
      <c r="F1160" s="22"/>
      <c r="G1160" s="23"/>
      <c r="H1160" s="2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</row>
    <row r="1161" customFormat="false" ht="15.75" hidden="false" customHeight="true" outlineLevel="0" collapsed="false">
      <c r="A1161" s="19"/>
      <c r="B1161" s="20"/>
      <c r="C1161" s="21"/>
      <c r="D1161" s="21"/>
      <c r="E1161" s="14"/>
      <c r="F1161" s="22"/>
      <c r="G1161" s="23"/>
      <c r="H1161" s="2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</row>
    <row r="1162" customFormat="false" ht="15.75" hidden="false" customHeight="true" outlineLevel="0" collapsed="false">
      <c r="A1162" s="19"/>
      <c r="B1162" s="20"/>
      <c r="C1162" s="21"/>
      <c r="D1162" s="21"/>
      <c r="E1162" s="14"/>
      <c r="F1162" s="22"/>
      <c r="G1162" s="23"/>
      <c r="H1162" s="2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</row>
    <row r="1163" customFormat="false" ht="15.75" hidden="false" customHeight="true" outlineLevel="0" collapsed="false">
      <c r="A1163" s="19"/>
      <c r="B1163" s="20"/>
      <c r="C1163" s="21"/>
      <c r="D1163" s="21"/>
      <c r="E1163" s="14"/>
      <c r="F1163" s="22"/>
      <c r="G1163" s="23"/>
      <c r="H1163" s="2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</row>
    <row r="1164" customFormat="false" ht="15.75" hidden="false" customHeight="true" outlineLevel="0" collapsed="false">
      <c r="A1164" s="19"/>
      <c r="B1164" s="20"/>
      <c r="C1164" s="21"/>
      <c r="D1164" s="21"/>
      <c r="E1164" s="14"/>
      <c r="F1164" s="22"/>
      <c r="G1164" s="23"/>
      <c r="H1164" s="2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</row>
    <row r="1165" customFormat="false" ht="15.75" hidden="false" customHeight="true" outlineLevel="0" collapsed="false">
      <c r="A1165" s="19"/>
      <c r="B1165" s="20"/>
      <c r="C1165" s="21"/>
      <c r="D1165" s="21"/>
      <c r="E1165" s="14"/>
      <c r="F1165" s="22"/>
      <c r="G1165" s="23"/>
      <c r="H1165" s="2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</row>
    <row r="1166" customFormat="false" ht="15.75" hidden="false" customHeight="true" outlineLevel="0" collapsed="false">
      <c r="A1166" s="19"/>
      <c r="B1166" s="20"/>
      <c r="C1166" s="21"/>
      <c r="D1166" s="21"/>
      <c r="E1166" s="14"/>
      <c r="F1166" s="22"/>
      <c r="G1166" s="23"/>
      <c r="H1166" s="2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</row>
    <row r="1167" customFormat="false" ht="15.75" hidden="false" customHeight="true" outlineLevel="0" collapsed="false">
      <c r="A1167" s="19"/>
      <c r="B1167" s="20"/>
      <c r="C1167" s="21"/>
      <c r="D1167" s="21"/>
      <c r="E1167" s="14"/>
      <c r="F1167" s="22"/>
      <c r="G1167" s="23"/>
      <c r="H1167" s="2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</row>
    <row r="1168" customFormat="false" ht="15.75" hidden="false" customHeight="true" outlineLevel="0" collapsed="false">
      <c r="A1168" s="19"/>
      <c r="B1168" s="20"/>
      <c r="C1168" s="21"/>
      <c r="D1168" s="21"/>
      <c r="E1168" s="14"/>
      <c r="F1168" s="22"/>
      <c r="G1168" s="23"/>
      <c r="H1168" s="2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</row>
    <row r="1169" customFormat="false" ht="15.75" hidden="false" customHeight="true" outlineLevel="0" collapsed="false">
      <c r="A1169" s="19"/>
      <c r="B1169" s="20"/>
      <c r="C1169" s="21"/>
      <c r="D1169" s="21"/>
      <c r="E1169" s="14"/>
      <c r="F1169" s="22"/>
      <c r="G1169" s="23"/>
      <c r="H1169" s="2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</row>
    <row r="1170" customFormat="false" ht="15.75" hidden="false" customHeight="true" outlineLevel="0" collapsed="false">
      <c r="A1170" s="19"/>
      <c r="B1170" s="20"/>
      <c r="C1170" s="21"/>
      <c r="D1170" s="21"/>
      <c r="E1170" s="14"/>
      <c r="F1170" s="22"/>
      <c r="G1170" s="23"/>
      <c r="H1170" s="2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</row>
    <row r="1171" customFormat="false" ht="15.75" hidden="false" customHeight="true" outlineLevel="0" collapsed="false">
      <c r="A1171" s="19"/>
      <c r="B1171" s="20"/>
      <c r="C1171" s="21"/>
      <c r="D1171" s="21"/>
      <c r="E1171" s="14"/>
      <c r="F1171" s="22"/>
      <c r="G1171" s="23"/>
      <c r="H1171" s="2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</row>
    <row r="1172" customFormat="false" ht="15.75" hidden="false" customHeight="true" outlineLevel="0" collapsed="false">
      <c r="A1172" s="19"/>
      <c r="B1172" s="20"/>
      <c r="C1172" s="21"/>
      <c r="D1172" s="21"/>
      <c r="E1172" s="14"/>
      <c r="F1172" s="22"/>
      <c r="G1172" s="23"/>
      <c r="H1172" s="2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</row>
    <row r="1173" customFormat="false" ht="15.75" hidden="false" customHeight="true" outlineLevel="0" collapsed="false">
      <c r="A1173" s="19"/>
      <c r="B1173" s="20"/>
      <c r="C1173" s="21"/>
      <c r="D1173" s="21"/>
      <c r="E1173" s="14"/>
      <c r="F1173" s="22"/>
      <c r="G1173" s="23"/>
      <c r="H1173" s="2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</row>
    <row r="1174" customFormat="false" ht="15.75" hidden="false" customHeight="true" outlineLevel="0" collapsed="false">
      <c r="A1174" s="19"/>
      <c r="B1174" s="20"/>
      <c r="C1174" s="21"/>
      <c r="D1174" s="21"/>
      <c r="E1174" s="14"/>
      <c r="F1174" s="22"/>
      <c r="G1174" s="23"/>
      <c r="H1174" s="2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</row>
    <row r="1175" customFormat="false" ht="15.75" hidden="false" customHeight="true" outlineLevel="0" collapsed="false">
      <c r="A1175" s="19"/>
      <c r="B1175" s="20"/>
      <c r="C1175" s="21"/>
      <c r="D1175" s="21"/>
      <c r="E1175" s="14"/>
      <c r="F1175" s="22"/>
      <c r="G1175" s="23"/>
      <c r="H1175" s="2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</row>
    <row r="1176" customFormat="false" ht="15.75" hidden="false" customHeight="true" outlineLevel="0" collapsed="false">
      <c r="A1176" s="19"/>
      <c r="B1176" s="20"/>
      <c r="C1176" s="21"/>
      <c r="D1176" s="21"/>
      <c r="E1176" s="14"/>
      <c r="F1176" s="22"/>
      <c r="G1176" s="23"/>
      <c r="H1176" s="2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</row>
    <row r="1177" customFormat="false" ht="15.75" hidden="false" customHeight="true" outlineLevel="0" collapsed="false">
      <c r="A1177" s="19"/>
      <c r="B1177" s="20"/>
      <c r="C1177" s="21"/>
      <c r="D1177" s="21"/>
      <c r="E1177" s="14"/>
      <c r="F1177" s="22"/>
      <c r="G1177" s="23"/>
      <c r="H1177" s="2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</row>
    <row r="1178" customFormat="false" ht="15.75" hidden="false" customHeight="true" outlineLevel="0" collapsed="false">
      <c r="A1178" s="19"/>
      <c r="B1178" s="20"/>
      <c r="C1178" s="21"/>
      <c r="D1178" s="21"/>
      <c r="E1178" s="14"/>
      <c r="F1178" s="22"/>
      <c r="G1178" s="23"/>
      <c r="H1178" s="2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</row>
    <row r="1179" customFormat="false" ht="15.75" hidden="false" customHeight="true" outlineLevel="0" collapsed="false">
      <c r="A1179" s="19"/>
      <c r="B1179" s="20"/>
      <c r="C1179" s="21"/>
      <c r="D1179" s="21"/>
      <c r="E1179" s="14"/>
      <c r="F1179" s="22"/>
      <c r="G1179" s="23"/>
      <c r="H1179" s="2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</row>
    <row r="1180" customFormat="false" ht="15.75" hidden="false" customHeight="true" outlineLevel="0" collapsed="false">
      <c r="A1180" s="19"/>
      <c r="B1180" s="20"/>
      <c r="C1180" s="21"/>
      <c r="D1180" s="21"/>
      <c r="E1180" s="14"/>
      <c r="F1180" s="22"/>
      <c r="G1180" s="23"/>
      <c r="H1180" s="2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</row>
    <row r="1181" customFormat="false" ht="15.75" hidden="false" customHeight="true" outlineLevel="0" collapsed="false">
      <c r="A1181" s="19"/>
      <c r="B1181" s="20"/>
      <c r="C1181" s="21"/>
      <c r="D1181" s="21"/>
      <c r="E1181" s="14"/>
      <c r="F1181" s="22"/>
      <c r="G1181" s="23"/>
      <c r="H1181" s="2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</row>
    <row r="1182" customFormat="false" ht="15.75" hidden="false" customHeight="true" outlineLevel="0" collapsed="false">
      <c r="A1182" s="19"/>
      <c r="B1182" s="20"/>
      <c r="C1182" s="21"/>
      <c r="D1182" s="21"/>
      <c r="E1182" s="14"/>
      <c r="F1182" s="22"/>
      <c r="G1182" s="23"/>
      <c r="H1182" s="2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</row>
    <row r="1183" customFormat="false" ht="15.75" hidden="false" customHeight="true" outlineLevel="0" collapsed="false">
      <c r="A1183" s="19"/>
      <c r="B1183" s="20"/>
      <c r="C1183" s="21"/>
      <c r="D1183" s="21"/>
      <c r="E1183" s="14"/>
      <c r="F1183" s="22"/>
      <c r="G1183" s="23"/>
      <c r="H1183" s="2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</row>
    <row r="1184" customFormat="false" ht="15.75" hidden="false" customHeight="true" outlineLevel="0" collapsed="false">
      <c r="A1184" s="19"/>
      <c r="B1184" s="20"/>
      <c r="C1184" s="21"/>
      <c r="D1184" s="21"/>
      <c r="E1184" s="14"/>
      <c r="F1184" s="22"/>
      <c r="G1184" s="23"/>
      <c r="H1184" s="2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</row>
    <row r="1185" customFormat="false" ht="15.75" hidden="false" customHeight="true" outlineLevel="0" collapsed="false">
      <c r="A1185" s="19"/>
      <c r="B1185" s="20"/>
      <c r="C1185" s="21"/>
      <c r="D1185" s="21"/>
      <c r="E1185" s="14"/>
      <c r="F1185" s="22"/>
      <c r="G1185" s="23"/>
      <c r="H1185" s="2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</row>
    <row r="1186" customFormat="false" ht="15.75" hidden="false" customHeight="true" outlineLevel="0" collapsed="false">
      <c r="A1186" s="19"/>
      <c r="B1186" s="20"/>
      <c r="C1186" s="21"/>
      <c r="D1186" s="21"/>
      <c r="E1186" s="14"/>
      <c r="F1186" s="22"/>
      <c r="G1186" s="23"/>
      <c r="H1186" s="2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</row>
    <row r="1187" customFormat="false" ht="15.75" hidden="false" customHeight="true" outlineLevel="0" collapsed="false">
      <c r="A1187" s="19"/>
      <c r="B1187" s="20"/>
      <c r="C1187" s="21"/>
      <c r="D1187" s="21"/>
      <c r="E1187" s="14"/>
      <c r="F1187" s="22"/>
      <c r="G1187" s="23"/>
      <c r="H1187" s="2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</row>
    <row r="1188" customFormat="false" ht="15.75" hidden="false" customHeight="true" outlineLevel="0" collapsed="false">
      <c r="A1188" s="19"/>
      <c r="B1188" s="20"/>
      <c r="C1188" s="21"/>
      <c r="D1188" s="21"/>
      <c r="E1188" s="14"/>
      <c r="F1188" s="22"/>
      <c r="G1188" s="23"/>
      <c r="H1188" s="2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</row>
    <row r="1189" customFormat="false" ht="15.75" hidden="false" customHeight="true" outlineLevel="0" collapsed="false">
      <c r="A1189" s="19"/>
      <c r="B1189" s="20"/>
      <c r="C1189" s="21"/>
      <c r="D1189" s="21"/>
      <c r="E1189" s="14"/>
      <c r="F1189" s="22"/>
      <c r="G1189" s="23"/>
      <c r="H1189" s="2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</row>
    <row r="1190" customFormat="false" ht="15.75" hidden="false" customHeight="true" outlineLevel="0" collapsed="false">
      <c r="A1190" s="19"/>
      <c r="B1190" s="20"/>
      <c r="C1190" s="21"/>
      <c r="D1190" s="21"/>
      <c r="E1190" s="14"/>
      <c r="F1190" s="22"/>
      <c r="G1190" s="23"/>
      <c r="H1190" s="2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</row>
    <row r="1191" customFormat="false" ht="15.75" hidden="false" customHeight="true" outlineLevel="0" collapsed="false">
      <c r="A1191" s="19"/>
      <c r="B1191" s="20"/>
      <c r="C1191" s="21"/>
      <c r="D1191" s="21"/>
      <c r="E1191" s="14"/>
      <c r="F1191" s="22"/>
      <c r="G1191" s="23"/>
      <c r="H1191" s="2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</row>
    <row r="1192" customFormat="false" ht="15.75" hidden="false" customHeight="true" outlineLevel="0" collapsed="false">
      <c r="A1192" s="19"/>
      <c r="B1192" s="20"/>
      <c r="C1192" s="21"/>
      <c r="D1192" s="21"/>
      <c r="E1192" s="14"/>
      <c r="F1192" s="22"/>
      <c r="G1192" s="23"/>
      <c r="H1192" s="2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</row>
    <row r="1193" customFormat="false" ht="15.75" hidden="false" customHeight="true" outlineLevel="0" collapsed="false">
      <c r="A1193" s="19"/>
      <c r="B1193" s="20"/>
      <c r="C1193" s="21"/>
      <c r="D1193" s="21"/>
      <c r="E1193" s="14"/>
      <c r="F1193" s="22"/>
      <c r="G1193" s="23"/>
      <c r="H1193" s="2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</row>
    <row r="1194" customFormat="false" ht="15.75" hidden="false" customHeight="true" outlineLevel="0" collapsed="false">
      <c r="A1194" s="19"/>
      <c r="B1194" s="20"/>
      <c r="C1194" s="21"/>
      <c r="D1194" s="21"/>
      <c r="E1194" s="14"/>
      <c r="F1194" s="22"/>
      <c r="G1194" s="23"/>
      <c r="H1194" s="2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</row>
    <row r="1195" customFormat="false" ht="15.75" hidden="false" customHeight="true" outlineLevel="0" collapsed="false">
      <c r="A1195" s="19"/>
      <c r="B1195" s="20"/>
      <c r="C1195" s="21"/>
      <c r="D1195" s="21"/>
      <c r="E1195" s="14"/>
      <c r="F1195" s="22"/>
      <c r="G1195" s="23"/>
      <c r="H1195" s="2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</row>
    <row r="1196" customFormat="false" ht="15.75" hidden="false" customHeight="true" outlineLevel="0" collapsed="false">
      <c r="A1196" s="19"/>
      <c r="B1196" s="20"/>
      <c r="C1196" s="21"/>
      <c r="D1196" s="21"/>
      <c r="E1196" s="14"/>
      <c r="F1196" s="22"/>
      <c r="G1196" s="23"/>
      <c r="H1196" s="2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</row>
    <row r="1197" customFormat="false" ht="15.75" hidden="false" customHeight="true" outlineLevel="0" collapsed="false">
      <c r="A1197" s="19"/>
      <c r="B1197" s="20"/>
      <c r="C1197" s="21"/>
      <c r="D1197" s="21"/>
      <c r="E1197" s="14"/>
      <c r="F1197" s="22"/>
      <c r="G1197" s="23"/>
      <c r="H1197" s="2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</row>
    <row r="1198" customFormat="false" ht="15.75" hidden="false" customHeight="true" outlineLevel="0" collapsed="false">
      <c r="A1198" s="19"/>
      <c r="B1198" s="20"/>
      <c r="C1198" s="21"/>
      <c r="D1198" s="21"/>
      <c r="E1198" s="14"/>
      <c r="F1198" s="22"/>
      <c r="G1198" s="23"/>
      <c r="H1198" s="2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</row>
    <row r="1199" customFormat="false" ht="15.75" hidden="false" customHeight="true" outlineLevel="0" collapsed="false">
      <c r="A1199" s="19"/>
      <c r="B1199" s="20"/>
      <c r="C1199" s="21"/>
      <c r="D1199" s="21"/>
      <c r="E1199" s="14"/>
      <c r="F1199" s="22"/>
      <c r="G1199" s="23"/>
      <c r="H1199" s="2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</row>
    <row r="1200" customFormat="false" ht="15.75" hidden="false" customHeight="true" outlineLevel="0" collapsed="false">
      <c r="A1200" s="19"/>
      <c r="B1200" s="20"/>
      <c r="C1200" s="21"/>
      <c r="D1200" s="21"/>
      <c r="E1200" s="14"/>
      <c r="F1200" s="22"/>
      <c r="G1200" s="23"/>
      <c r="H1200" s="2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</row>
    <row r="1201" customFormat="false" ht="15.75" hidden="false" customHeight="true" outlineLevel="0" collapsed="false">
      <c r="A1201" s="19"/>
      <c r="B1201" s="20"/>
      <c r="C1201" s="21"/>
      <c r="D1201" s="21"/>
      <c r="E1201" s="14"/>
      <c r="F1201" s="22"/>
      <c r="G1201" s="23"/>
      <c r="H1201" s="2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</row>
    <row r="1202" customFormat="false" ht="15.75" hidden="false" customHeight="true" outlineLevel="0" collapsed="false">
      <c r="A1202" s="19"/>
      <c r="B1202" s="20"/>
      <c r="C1202" s="21"/>
      <c r="D1202" s="21"/>
      <c r="E1202" s="14"/>
      <c r="F1202" s="22"/>
      <c r="G1202" s="23"/>
      <c r="H1202" s="2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</row>
    <row r="1203" customFormat="false" ht="15.75" hidden="false" customHeight="true" outlineLevel="0" collapsed="false">
      <c r="A1203" s="19"/>
      <c r="B1203" s="20"/>
      <c r="C1203" s="21"/>
      <c r="D1203" s="21"/>
      <c r="E1203" s="14"/>
      <c r="F1203" s="22"/>
      <c r="G1203" s="23"/>
      <c r="H1203" s="2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</row>
    <row r="1204" customFormat="false" ht="15.75" hidden="false" customHeight="true" outlineLevel="0" collapsed="false">
      <c r="A1204" s="19"/>
      <c r="B1204" s="20"/>
      <c r="C1204" s="21"/>
      <c r="D1204" s="21"/>
      <c r="E1204" s="14"/>
      <c r="F1204" s="22"/>
      <c r="G1204" s="23"/>
      <c r="H1204" s="2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</row>
    <row r="1205" customFormat="false" ht="15.75" hidden="false" customHeight="true" outlineLevel="0" collapsed="false">
      <c r="A1205" s="19"/>
      <c r="B1205" s="20"/>
      <c r="C1205" s="21"/>
      <c r="D1205" s="21"/>
      <c r="E1205" s="14"/>
      <c r="F1205" s="22"/>
      <c r="G1205" s="23"/>
      <c r="H1205" s="2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</row>
    <row r="1206" customFormat="false" ht="15.75" hidden="false" customHeight="true" outlineLevel="0" collapsed="false">
      <c r="A1206" s="19"/>
      <c r="B1206" s="20"/>
      <c r="C1206" s="21"/>
      <c r="D1206" s="21"/>
      <c r="E1206" s="14"/>
      <c r="F1206" s="22"/>
      <c r="G1206" s="23"/>
      <c r="H1206" s="2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</row>
    <row r="1207" customFormat="false" ht="15.75" hidden="false" customHeight="true" outlineLevel="0" collapsed="false">
      <c r="A1207" s="19"/>
      <c r="B1207" s="20"/>
      <c r="C1207" s="21"/>
      <c r="D1207" s="21"/>
      <c r="E1207" s="14"/>
      <c r="F1207" s="22"/>
      <c r="G1207" s="23"/>
      <c r="H1207" s="2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</row>
    <row r="1208" customFormat="false" ht="15.75" hidden="false" customHeight="true" outlineLevel="0" collapsed="false">
      <c r="A1208" s="19"/>
      <c r="B1208" s="20"/>
      <c r="C1208" s="21"/>
      <c r="D1208" s="21"/>
      <c r="E1208" s="14"/>
      <c r="F1208" s="22"/>
      <c r="G1208" s="23"/>
      <c r="H1208" s="2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</row>
    <row r="1209" customFormat="false" ht="15.75" hidden="false" customHeight="true" outlineLevel="0" collapsed="false">
      <c r="A1209" s="19"/>
      <c r="B1209" s="20"/>
      <c r="C1209" s="21"/>
      <c r="D1209" s="21"/>
      <c r="E1209" s="14"/>
      <c r="F1209" s="22"/>
      <c r="G1209" s="23"/>
      <c r="H1209" s="2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</row>
    <row r="1210" customFormat="false" ht="15.75" hidden="false" customHeight="true" outlineLevel="0" collapsed="false">
      <c r="A1210" s="19"/>
      <c r="B1210" s="20"/>
      <c r="C1210" s="21"/>
      <c r="D1210" s="21"/>
      <c r="E1210" s="14"/>
      <c r="F1210" s="22"/>
      <c r="G1210" s="23"/>
      <c r="H1210" s="2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</row>
    <row r="1211" customFormat="false" ht="15.75" hidden="false" customHeight="true" outlineLevel="0" collapsed="false">
      <c r="A1211" s="19"/>
      <c r="B1211" s="20"/>
      <c r="C1211" s="21"/>
      <c r="D1211" s="21"/>
      <c r="E1211" s="14"/>
      <c r="F1211" s="22"/>
      <c r="G1211" s="23"/>
      <c r="H1211" s="2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</row>
    <row r="1212" customFormat="false" ht="15.75" hidden="false" customHeight="true" outlineLevel="0" collapsed="false">
      <c r="A1212" s="19"/>
      <c r="B1212" s="20"/>
      <c r="C1212" s="21"/>
      <c r="D1212" s="21"/>
      <c r="E1212" s="14"/>
      <c r="F1212" s="22"/>
      <c r="G1212" s="23"/>
      <c r="H1212" s="2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</row>
    <row r="1213" customFormat="false" ht="15.75" hidden="false" customHeight="true" outlineLevel="0" collapsed="false">
      <c r="A1213" s="19"/>
      <c r="B1213" s="20"/>
      <c r="C1213" s="21"/>
      <c r="D1213" s="21"/>
      <c r="E1213" s="14"/>
      <c r="F1213" s="22"/>
      <c r="G1213" s="23"/>
      <c r="H1213" s="2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</row>
    <row r="1214" customFormat="false" ht="15.75" hidden="false" customHeight="true" outlineLevel="0" collapsed="false">
      <c r="A1214" s="19"/>
      <c r="B1214" s="20"/>
      <c r="C1214" s="21"/>
      <c r="D1214" s="21"/>
      <c r="E1214" s="14"/>
      <c r="F1214" s="22"/>
      <c r="G1214" s="23"/>
      <c r="H1214" s="2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</row>
    <row r="1215" customFormat="false" ht="15.75" hidden="false" customHeight="true" outlineLevel="0" collapsed="false">
      <c r="A1215" s="19"/>
      <c r="B1215" s="20"/>
      <c r="C1215" s="21"/>
      <c r="D1215" s="21"/>
      <c r="E1215" s="14"/>
      <c r="F1215" s="22"/>
      <c r="G1215" s="23"/>
      <c r="H1215" s="2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</row>
    <row r="1216" customFormat="false" ht="15.75" hidden="false" customHeight="true" outlineLevel="0" collapsed="false">
      <c r="A1216" s="19"/>
      <c r="B1216" s="20"/>
      <c r="C1216" s="21"/>
      <c r="D1216" s="21"/>
      <c r="E1216" s="14"/>
      <c r="F1216" s="22"/>
      <c r="G1216" s="23"/>
      <c r="H1216" s="2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</row>
    <row r="1217" customFormat="false" ht="15.75" hidden="false" customHeight="true" outlineLevel="0" collapsed="false">
      <c r="A1217" s="19"/>
      <c r="B1217" s="20"/>
      <c r="C1217" s="21"/>
      <c r="D1217" s="21"/>
      <c r="E1217" s="14"/>
      <c r="F1217" s="22"/>
      <c r="G1217" s="23"/>
      <c r="H1217" s="2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</row>
    <row r="1218" customFormat="false" ht="15.75" hidden="false" customHeight="true" outlineLevel="0" collapsed="false">
      <c r="A1218" s="19"/>
      <c r="B1218" s="20"/>
      <c r="C1218" s="21"/>
      <c r="D1218" s="21"/>
      <c r="E1218" s="14"/>
      <c r="F1218" s="22"/>
      <c r="G1218" s="23"/>
      <c r="H1218" s="2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</row>
    <row r="1219" customFormat="false" ht="15.75" hidden="false" customHeight="true" outlineLevel="0" collapsed="false">
      <c r="A1219" s="19"/>
      <c r="B1219" s="20"/>
      <c r="C1219" s="21"/>
      <c r="D1219" s="21"/>
      <c r="E1219" s="14"/>
      <c r="F1219" s="22"/>
      <c r="G1219" s="23"/>
      <c r="H1219" s="2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</row>
    <row r="1220" customFormat="false" ht="15.75" hidden="false" customHeight="true" outlineLevel="0" collapsed="false">
      <c r="A1220" s="19"/>
      <c r="B1220" s="20"/>
      <c r="C1220" s="21"/>
      <c r="D1220" s="21"/>
      <c r="E1220" s="14"/>
      <c r="F1220" s="22"/>
      <c r="G1220" s="23"/>
      <c r="H1220" s="2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</row>
    <row r="1221" customFormat="false" ht="15.75" hidden="false" customHeight="true" outlineLevel="0" collapsed="false">
      <c r="A1221" s="19"/>
      <c r="B1221" s="20"/>
      <c r="C1221" s="21"/>
      <c r="D1221" s="21"/>
      <c r="E1221" s="14"/>
      <c r="F1221" s="22"/>
      <c r="G1221" s="23"/>
      <c r="H1221" s="2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</row>
    <row r="1222" customFormat="false" ht="15.75" hidden="false" customHeight="true" outlineLevel="0" collapsed="false">
      <c r="A1222" s="19"/>
      <c r="B1222" s="20"/>
      <c r="C1222" s="21"/>
      <c r="D1222" s="21"/>
      <c r="E1222" s="14"/>
      <c r="F1222" s="22"/>
      <c r="G1222" s="23"/>
      <c r="H1222" s="2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</row>
    <row r="1223" customFormat="false" ht="15.75" hidden="false" customHeight="true" outlineLevel="0" collapsed="false">
      <c r="A1223" s="19"/>
      <c r="B1223" s="20"/>
      <c r="C1223" s="21"/>
      <c r="D1223" s="21"/>
      <c r="E1223" s="14"/>
      <c r="F1223" s="22"/>
      <c r="G1223" s="23"/>
      <c r="H1223" s="2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</row>
    <row r="1224" customFormat="false" ht="15.75" hidden="false" customHeight="true" outlineLevel="0" collapsed="false">
      <c r="A1224" s="19"/>
      <c r="B1224" s="20"/>
      <c r="C1224" s="21"/>
      <c r="D1224" s="21"/>
      <c r="E1224" s="14"/>
      <c r="F1224" s="22"/>
      <c r="G1224" s="23"/>
      <c r="H1224" s="2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</row>
    <row r="1225" customFormat="false" ht="15.75" hidden="false" customHeight="true" outlineLevel="0" collapsed="false">
      <c r="A1225" s="19"/>
      <c r="B1225" s="20"/>
      <c r="C1225" s="21"/>
      <c r="D1225" s="21"/>
      <c r="E1225" s="14"/>
      <c r="F1225" s="22"/>
      <c r="G1225" s="23"/>
      <c r="H1225" s="2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</row>
    <row r="1226" customFormat="false" ht="15.75" hidden="false" customHeight="true" outlineLevel="0" collapsed="false">
      <c r="A1226" s="19"/>
      <c r="B1226" s="20"/>
      <c r="C1226" s="21"/>
      <c r="D1226" s="21"/>
      <c r="E1226" s="14"/>
      <c r="F1226" s="22"/>
      <c r="G1226" s="23"/>
      <c r="H1226" s="2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</row>
    <row r="1227" customFormat="false" ht="15.75" hidden="false" customHeight="true" outlineLevel="0" collapsed="false">
      <c r="A1227" s="19"/>
      <c r="B1227" s="20"/>
      <c r="C1227" s="21"/>
      <c r="D1227" s="21"/>
      <c r="E1227" s="14"/>
      <c r="F1227" s="22"/>
      <c r="G1227" s="23"/>
      <c r="H1227" s="2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</row>
    <row r="1228" customFormat="false" ht="15.75" hidden="false" customHeight="true" outlineLevel="0" collapsed="false">
      <c r="A1228" s="19"/>
      <c r="B1228" s="20"/>
      <c r="C1228" s="21"/>
      <c r="D1228" s="21"/>
      <c r="E1228" s="14"/>
      <c r="F1228" s="22"/>
      <c r="G1228" s="23"/>
      <c r="H1228" s="2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</row>
    <row r="1229" customFormat="false" ht="15.75" hidden="false" customHeight="true" outlineLevel="0" collapsed="false">
      <c r="A1229" s="19"/>
      <c r="B1229" s="20"/>
      <c r="C1229" s="21"/>
      <c r="D1229" s="21"/>
      <c r="E1229" s="14"/>
      <c r="F1229" s="22"/>
      <c r="G1229" s="23"/>
      <c r="H1229" s="2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</row>
    <row r="1230" customFormat="false" ht="15.75" hidden="false" customHeight="true" outlineLevel="0" collapsed="false">
      <c r="A1230" s="19"/>
      <c r="B1230" s="20"/>
      <c r="C1230" s="21"/>
      <c r="D1230" s="21"/>
      <c r="E1230" s="14"/>
      <c r="F1230" s="22"/>
      <c r="G1230" s="23"/>
      <c r="H1230" s="2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</row>
    <row r="1231" customFormat="false" ht="15.75" hidden="false" customHeight="true" outlineLevel="0" collapsed="false">
      <c r="A1231" s="19"/>
      <c r="B1231" s="20"/>
      <c r="C1231" s="21"/>
      <c r="D1231" s="21"/>
      <c r="E1231" s="14"/>
      <c r="F1231" s="22"/>
      <c r="G1231" s="23"/>
      <c r="H1231" s="2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</row>
    <row r="1232" customFormat="false" ht="15.75" hidden="false" customHeight="true" outlineLevel="0" collapsed="false">
      <c r="A1232" s="19"/>
      <c r="B1232" s="20"/>
      <c r="C1232" s="21"/>
      <c r="D1232" s="21"/>
      <c r="E1232" s="14"/>
      <c r="F1232" s="22"/>
      <c r="G1232" s="23"/>
      <c r="H1232" s="2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</row>
    <row r="1233" customFormat="false" ht="15.75" hidden="false" customHeight="true" outlineLevel="0" collapsed="false">
      <c r="A1233" s="19"/>
      <c r="B1233" s="20"/>
      <c r="C1233" s="21"/>
      <c r="D1233" s="21"/>
      <c r="E1233" s="14"/>
      <c r="F1233" s="22"/>
      <c r="G1233" s="23"/>
      <c r="H1233" s="2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</row>
    <row r="1234" customFormat="false" ht="15.75" hidden="false" customHeight="true" outlineLevel="0" collapsed="false">
      <c r="A1234" s="19"/>
      <c r="B1234" s="20"/>
      <c r="C1234" s="21"/>
      <c r="D1234" s="21"/>
      <c r="E1234" s="14"/>
      <c r="F1234" s="22"/>
      <c r="G1234" s="23"/>
      <c r="H1234" s="2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</row>
    <row r="1235" customFormat="false" ht="15.75" hidden="false" customHeight="true" outlineLevel="0" collapsed="false">
      <c r="A1235" s="19"/>
      <c r="B1235" s="20"/>
      <c r="C1235" s="21"/>
      <c r="D1235" s="21"/>
      <c r="E1235" s="14"/>
      <c r="F1235" s="22"/>
      <c r="G1235" s="23"/>
      <c r="H1235" s="2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</row>
    <row r="1236" customFormat="false" ht="15.75" hidden="false" customHeight="true" outlineLevel="0" collapsed="false">
      <c r="A1236" s="19"/>
      <c r="B1236" s="20"/>
      <c r="C1236" s="21"/>
      <c r="D1236" s="21"/>
      <c r="E1236" s="14"/>
      <c r="F1236" s="22"/>
      <c r="G1236" s="23"/>
      <c r="H1236" s="2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</row>
    <row r="1237" customFormat="false" ht="15.75" hidden="false" customHeight="true" outlineLevel="0" collapsed="false">
      <c r="A1237" s="19"/>
      <c r="B1237" s="20"/>
      <c r="C1237" s="21"/>
      <c r="D1237" s="21"/>
      <c r="E1237" s="14"/>
      <c r="F1237" s="22"/>
      <c r="G1237" s="23"/>
      <c r="H1237" s="2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</row>
    <row r="1238" customFormat="false" ht="15.75" hidden="false" customHeight="true" outlineLevel="0" collapsed="false">
      <c r="A1238" s="19"/>
      <c r="B1238" s="20"/>
      <c r="C1238" s="21"/>
      <c r="D1238" s="21"/>
      <c r="E1238" s="14"/>
      <c r="F1238" s="22"/>
      <c r="G1238" s="23"/>
      <c r="H1238" s="2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</row>
    <row r="1239" customFormat="false" ht="15.75" hidden="false" customHeight="true" outlineLevel="0" collapsed="false">
      <c r="A1239" s="19"/>
      <c r="B1239" s="20"/>
      <c r="C1239" s="21"/>
      <c r="D1239" s="21"/>
      <c r="E1239" s="14"/>
      <c r="F1239" s="22"/>
      <c r="G1239" s="23"/>
      <c r="H1239" s="2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</row>
    <row r="1240" customFormat="false" ht="15.75" hidden="false" customHeight="true" outlineLevel="0" collapsed="false">
      <c r="A1240" s="19"/>
      <c r="B1240" s="20"/>
      <c r="C1240" s="21"/>
      <c r="D1240" s="21"/>
      <c r="E1240" s="14"/>
      <c r="F1240" s="22"/>
      <c r="G1240" s="23"/>
      <c r="H1240" s="2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</row>
    <row r="1241" customFormat="false" ht="15.75" hidden="false" customHeight="true" outlineLevel="0" collapsed="false">
      <c r="A1241" s="19"/>
      <c r="B1241" s="20"/>
      <c r="C1241" s="21"/>
      <c r="D1241" s="21"/>
      <c r="E1241" s="14"/>
      <c r="F1241" s="22"/>
      <c r="G1241" s="23"/>
      <c r="H1241" s="2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</row>
    <row r="1242" customFormat="false" ht="15.75" hidden="false" customHeight="true" outlineLevel="0" collapsed="false">
      <c r="A1242" s="19"/>
      <c r="B1242" s="20"/>
      <c r="C1242" s="21"/>
      <c r="D1242" s="21"/>
      <c r="E1242" s="14"/>
      <c r="F1242" s="22"/>
      <c r="G1242" s="23"/>
      <c r="H1242" s="2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</row>
    <row r="1243" customFormat="false" ht="15.75" hidden="false" customHeight="true" outlineLevel="0" collapsed="false">
      <c r="A1243" s="19"/>
      <c r="B1243" s="20"/>
      <c r="C1243" s="21"/>
      <c r="D1243" s="21"/>
      <c r="E1243" s="14"/>
      <c r="F1243" s="22"/>
      <c r="G1243" s="23"/>
      <c r="H1243" s="2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</row>
    <row r="1244" customFormat="false" ht="15.75" hidden="false" customHeight="true" outlineLevel="0" collapsed="false">
      <c r="A1244" s="19"/>
      <c r="B1244" s="20"/>
      <c r="C1244" s="21"/>
      <c r="D1244" s="21"/>
      <c r="E1244" s="14"/>
      <c r="F1244" s="22"/>
      <c r="G1244" s="23"/>
      <c r="H1244" s="2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</row>
    <row r="1245" customFormat="false" ht="15.75" hidden="false" customHeight="true" outlineLevel="0" collapsed="false">
      <c r="A1245" s="19"/>
      <c r="B1245" s="20"/>
      <c r="C1245" s="21"/>
      <c r="D1245" s="21"/>
      <c r="E1245" s="14"/>
      <c r="F1245" s="22"/>
      <c r="G1245" s="23"/>
      <c r="H1245" s="2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</row>
    <row r="1246" customFormat="false" ht="15.75" hidden="false" customHeight="true" outlineLevel="0" collapsed="false">
      <c r="A1246" s="19"/>
      <c r="B1246" s="20"/>
      <c r="C1246" s="21"/>
      <c r="D1246" s="21"/>
      <c r="E1246" s="14"/>
      <c r="F1246" s="22"/>
      <c r="G1246" s="23"/>
      <c r="H1246" s="2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</row>
    <row r="1247" customFormat="false" ht="15.75" hidden="false" customHeight="true" outlineLevel="0" collapsed="false">
      <c r="A1247" s="19"/>
      <c r="B1247" s="20"/>
      <c r="C1247" s="21"/>
      <c r="D1247" s="21"/>
      <c r="E1247" s="14"/>
      <c r="F1247" s="22"/>
      <c r="G1247" s="23"/>
      <c r="H1247" s="2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</row>
    <row r="1248" customFormat="false" ht="15.75" hidden="false" customHeight="true" outlineLevel="0" collapsed="false">
      <c r="A1248" s="19"/>
      <c r="B1248" s="20"/>
      <c r="C1248" s="21"/>
      <c r="D1248" s="21"/>
      <c r="E1248" s="14"/>
      <c r="F1248" s="22"/>
      <c r="G1248" s="23"/>
      <c r="H1248" s="2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</row>
    <row r="1249" customFormat="false" ht="15.75" hidden="false" customHeight="true" outlineLevel="0" collapsed="false">
      <c r="A1249" s="19"/>
      <c r="B1249" s="20"/>
      <c r="C1249" s="21"/>
      <c r="D1249" s="21"/>
      <c r="E1249" s="14"/>
      <c r="F1249" s="22"/>
      <c r="G1249" s="23"/>
      <c r="H1249" s="2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</row>
    <row r="1250" customFormat="false" ht="15.75" hidden="false" customHeight="true" outlineLevel="0" collapsed="false">
      <c r="A1250" s="19"/>
      <c r="B1250" s="20"/>
      <c r="C1250" s="21"/>
      <c r="D1250" s="21"/>
      <c r="E1250" s="14"/>
      <c r="F1250" s="22"/>
      <c r="G1250" s="23"/>
      <c r="H1250" s="2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</row>
    <row r="1251" customFormat="false" ht="15.75" hidden="false" customHeight="true" outlineLevel="0" collapsed="false">
      <c r="A1251" s="19"/>
      <c r="B1251" s="20"/>
      <c r="C1251" s="21"/>
      <c r="D1251" s="21"/>
      <c r="E1251" s="14"/>
      <c r="F1251" s="22"/>
      <c r="G1251" s="23"/>
      <c r="H1251" s="2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</row>
    <row r="1252" customFormat="false" ht="15.75" hidden="false" customHeight="true" outlineLevel="0" collapsed="false">
      <c r="A1252" s="19"/>
      <c r="B1252" s="20"/>
      <c r="C1252" s="21"/>
      <c r="D1252" s="21"/>
      <c r="E1252" s="14"/>
      <c r="F1252" s="22"/>
      <c r="G1252" s="23"/>
      <c r="H1252" s="2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</row>
    <row r="1253" customFormat="false" ht="15.75" hidden="false" customHeight="true" outlineLevel="0" collapsed="false">
      <c r="A1253" s="19"/>
      <c r="B1253" s="20"/>
      <c r="C1253" s="21"/>
      <c r="D1253" s="21"/>
      <c r="E1253" s="14"/>
      <c r="F1253" s="22"/>
      <c r="G1253" s="23"/>
      <c r="H1253" s="2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</row>
    <row r="1254" customFormat="false" ht="15.75" hidden="false" customHeight="true" outlineLevel="0" collapsed="false">
      <c r="A1254" s="19"/>
      <c r="B1254" s="20"/>
      <c r="C1254" s="21"/>
      <c r="D1254" s="21"/>
      <c r="E1254" s="14"/>
      <c r="F1254" s="22"/>
      <c r="G1254" s="23"/>
      <c r="H1254" s="2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</row>
    <row r="1255" customFormat="false" ht="15.75" hidden="false" customHeight="true" outlineLevel="0" collapsed="false">
      <c r="A1255" s="19"/>
      <c r="B1255" s="20"/>
      <c r="C1255" s="21"/>
      <c r="D1255" s="21"/>
      <c r="E1255" s="14"/>
      <c r="F1255" s="22"/>
      <c r="G1255" s="23"/>
      <c r="H1255" s="2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</row>
    <row r="1256" customFormat="false" ht="15.75" hidden="false" customHeight="true" outlineLevel="0" collapsed="false">
      <c r="A1256" s="19"/>
      <c r="B1256" s="20"/>
      <c r="C1256" s="21"/>
      <c r="D1256" s="21"/>
      <c r="E1256" s="14"/>
      <c r="F1256" s="22"/>
      <c r="G1256" s="23"/>
      <c r="H1256" s="2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</row>
    <row r="1257" customFormat="false" ht="15.75" hidden="false" customHeight="true" outlineLevel="0" collapsed="false">
      <c r="A1257" s="19"/>
      <c r="B1257" s="20"/>
      <c r="C1257" s="21"/>
      <c r="D1257" s="21"/>
      <c r="E1257" s="14"/>
      <c r="F1257" s="22"/>
      <c r="G1257" s="23"/>
      <c r="H1257" s="2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</row>
    <row r="1258" customFormat="false" ht="15.75" hidden="false" customHeight="true" outlineLevel="0" collapsed="false">
      <c r="A1258" s="19"/>
      <c r="B1258" s="20"/>
      <c r="C1258" s="21"/>
      <c r="D1258" s="21"/>
      <c r="E1258" s="14"/>
      <c r="F1258" s="22"/>
      <c r="G1258" s="23"/>
      <c r="H1258" s="2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</row>
    <row r="1259" customFormat="false" ht="15.75" hidden="false" customHeight="true" outlineLevel="0" collapsed="false">
      <c r="A1259" s="19"/>
      <c r="B1259" s="20"/>
      <c r="C1259" s="21"/>
      <c r="D1259" s="21"/>
      <c r="E1259" s="14"/>
      <c r="F1259" s="22"/>
      <c r="G1259" s="23"/>
      <c r="H1259" s="2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</row>
    <row r="1260" customFormat="false" ht="15.75" hidden="false" customHeight="true" outlineLevel="0" collapsed="false">
      <c r="A1260" s="19"/>
      <c r="B1260" s="20"/>
      <c r="C1260" s="21"/>
      <c r="D1260" s="21"/>
      <c r="E1260" s="14"/>
      <c r="F1260" s="22"/>
      <c r="G1260" s="23"/>
      <c r="H1260" s="2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</row>
    <row r="1261" customFormat="false" ht="15.75" hidden="false" customHeight="true" outlineLevel="0" collapsed="false">
      <c r="A1261" s="19"/>
      <c r="B1261" s="20"/>
      <c r="C1261" s="21"/>
      <c r="D1261" s="21"/>
      <c r="E1261" s="14"/>
      <c r="F1261" s="22"/>
      <c r="G1261" s="23"/>
      <c r="H1261" s="2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</row>
    <row r="1262" customFormat="false" ht="15.75" hidden="false" customHeight="true" outlineLevel="0" collapsed="false">
      <c r="A1262" s="19"/>
      <c r="B1262" s="20"/>
      <c r="C1262" s="21"/>
      <c r="D1262" s="21"/>
      <c r="E1262" s="14"/>
      <c r="F1262" s="22"/>
      <c r="G1262" s="23"/>
      <c r="H1262" s="2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</row>
    <row r="1263" customFormat="false" ht="15.75" hidden="false" customHeight="true" outlineLevel="0" collapsed="false">
      <c r="A1263" s="19"/>
      <c r="B1263" s="20"/>
      <c r="C1263" s="21"/>
      <c r="D1263" s="21"/>
      <c r="E1263" s="14"/>
      <c r="F1263" s="22"/>
      <c r="G1263" s="23"/>
      <c r="H1263" s="2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</row>
    <row r="1264" customFormat="false" ht="15.75" hidden="false" customHeight="true" outlineLevel="0" collapsed="false">
      <c r="A1264" s="19"/>
      <c r="B1264" s="20"/>
      <c r="C1264" s="21"/>
      <c r="D1264" s="21"/>
      <c r="E1264" s="14"/>
      <c r="F1264" s="22"/>
      <c r="G1264" s="23"/>
      <c r="H1264" s="2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</row>
    <row r="1265" customFormat="false" ht="15.75" hidden="false" customHeight="true" outlineLevel="0" collapsed="false">
      <c r="A1265" s="19"/>
      <c r="B1265" s="20"/>
      <c r="C1265" s="21"/>
      <c r="D1265" s="21"/>
      <c r="E1265" s="14"/>
      <c r="F1265" s="22"/>
      <c r="G1265" s="23"/>
      <c r="H1265" s="2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</row>
    <row r="1266" customFormat="false" ht="15.75" hidden="false" customHeight="true" outlineLevel="0" collapsed="false">
      <c r="A1266" s="19"/>
      <c r="B1266" s="20"/>
      <c r="C1266" s="21"/>
      <c r="D1266" s="21"/>
      <c r="E1266" s="14"/>
      <c r="F1266" s="22"/>
      <c r="G1266" s="23"/>
      <c r="H1266" s="2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</row>
    <row r="1267" customFormat="false" ht="15.75" hidden="false" customHeight="true" outlineLevel="0" collapsed="false">
      <c r="A1267" s="19"/>
      <c r="B1267" s="20"/>
      <c r="C1267" s="21"/>
      <c r="D1267" s="21"/>
      <c r="E1267" s="14"/>
      <c r="F1267" s="22"/>
      <c r="G1267" s="23"/>
      <c r="H1267" s="2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</row>
    <row r="1268" customFormat="false" ht="15.75" hidden="false" customHeight="true" outlineLevel="0" collapsed="false">
      <c r="A1268" s="19"/>
      <c r="B1268" s="20"/>
      <c r="C1268" s="21"/>
      <c r="D1268" s="21"/>
      <c r="E1268" s="14"/>
      <c r="F1268" s="22"/>
      <c r="G1268" s="23"/>
      <c r="H1268" s="2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</row>
    <row r="1269" customFormat="false" ht="15.75" hidden="false" customHeight="true" outlineLevel="0" collapsed="false">
      <c r="A1269" s="19"/>
      <c r="B1269" s="20"/>
      <c r="C1269" s="21"/>
      <c r="D1269" s="21"/>
      <c r="E1269" s="14"/>
      <c r="F1269" s="22"/>
      <c r="G1269" s="23"/>
      <c r="H1269" s="2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</row>
    <row r="1270" customFormat="false" ht="15.75" hidden="false" customHeight="true" outlineLevel="0" collapsed="false">
      <c r="A1270" s="19"/>
      <c r="B1270" s="20"/>
      <c r="C1270" s="21"/>
      <c r="D1270" s="21"/>
      <c r="E1270" s="14"/>
      <c r="F1270" s="22"/>
      <c r="G1270" s="23"/>
      <c r="H1270" s="2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</row>
    <row r="1271" customFormat="false" ht="15.75" hidden="false" customHeight="true" outlineLevel="0" collapsed="false">
      <c r="A1271" s="19"/>
      <c r="B1271" s="20"/>
      <c r="C1271" s="21"/>
      <c r="D1271" s="21"/>
      <c r="E1271" s="14"/>
      <c r="F1271" s="22"/>
      <c r="G1271" s="23"/>
      <c r="H1271" s="2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</row>
    <row r="1272" customFormat="false" ht="15.75" hidden="false" customHeight="true" outlineLevel="0" collapsed="false">
      <c r="A1272" s="19"/>
      <c r="B1272" s="20"/>
      <c r="C1272" s="21"/>
      <c r="D1272" s="21"/>
      <c r="E1272" s="14"/>
      <c r="F1272" s="22"/>
      <c r="G1272" s="23"/>
      <c r="H1272" s="2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</row>
    <row r="1273" customFormat="false" ht="15.75" hidden="false" customHeight="true" outlineLevel="0" collapsed="false">
      <c r="A1273" s="19"/>
      <c r="B1273" s="20"/>
      <c r="C1273" s="21"/>
      <c r="D1273" s="21"/>
      <c r="E1273" s="14"/>
      <c r="F1273" s="22"/>
      <c r="G1273" s="23"/>
      <c r="H1273" s="2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</row>
    <row r="1274" customFormat="false" ht="15.75" hidden="false" customHeight="true" outlineLevel="0" collapsed="false">
      <c r="A1274" s="19"/>
      <c r="B1274" s="20"/>
      <c r="C1274" s="21"/>
      <c r="D1274" s="21"/>
      <c r="E1274" s="14"/>
      <c r="F1274" s="22"/>
      <c r="G1274" s="23"/>
      <c r="H1274" s="2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</row>
    <row r="1275" customFormat="false" ht="15.75" hidden="false" customHeight="true" outlineLevel="0" collapsed="false">
      <c r="A1275" s="19"/>
      <c r="B1275" s="20"/>
      <c r="C1275" s="21"/>
      <c r="D1275" s="21"/>
      <c r="E1275" s="14"/>
      <c r="F1275" s="22"/>
      <c r="G1275" s="23"/>
      <c r="H1275" s="2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</row>
    <row r="1276" customFormat="false" ht="15.75" hidden="false" customHeight="true" outlineLevel="0" collapsed="false">
      <c r="A1276" s="19"/>
      <c r="B1276" s="20"/>
      <c r="C1276" s="21"/>
      <c r="D1276" s="21"/>
      <c r="E1276" s="14"/>
      <c r="F1276" s="22"/>
      <c r="G1276" s="23"/>
      <c r="H1276" s="2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</row>
    <row r="1277" customFormat="false" ht="15.75" hidden="false" customHeight="true" outlineLevel="0" collapsed="false">
      <c r="A1277" s="19"/>
      <c r="B1277" s="20"/>
      <c r="C1277" s="21"/>
      <c r="D1277" s="21"/>
      <c r="E1277" s="14"/>
      <c r="F1277" s="22"/>
      <c r="G1277" s="23"/>
      <c r="H1277" s="2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</row>
    <row r="1278" customFormat="false" ht="15.75" hidden="false" customHeight="true" outlineLevel="0" collapsed="false">
      <c r="A1278" s="19"/>
      <c r="B1278" s="20"/>
      <c r="C1278" s="21"/>
      <c r="D1278" s="21"/>
      <c r="E1278" s="14"/>
      <c r="F1278" s="22"/>
      <c r="G1278" s="23"/>
      <c r="H1278" s="2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</row>
    <row r="1279" customFormat="false" ht="15.75" hidden="false" customHeight="true" outlineLevel="0" collapsed="false">
      <c r="A1279" s="19"/>
      <c r="B1279" s="20"/>
      <c r="C1279" s="21"/>
      <c r="D1279" s="21"/>
      <c r="E1279" s="14"/>
      <c r="F1279" s="22"/>
      <c r="G1279" s="23"/>
      <c r="H1279" s="2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</row>
    <row r="1280" customFormat="false" ht="15.75" hidden="false" customHeight="true" outlineLevel="0" collapsed="false">
      <c r="A1280" s="19"/>
      <c r="B1280" s="20"/>
      <c r="C1280" s="21"/>
      <c r="D1280" s="21"/>
      <c r="E1280" s="14"/>
      <c r="F1280" s="22"/>
      <c r="G1280" s="23"/>
      <c r="H1280" s="2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</row>
    <row r="1281" customFormat="false" ht="15.75" hidden="false" customHeight="true" outlineLevel="0" collapsed="false">
      <c r="A1281" s="19"/>
      <c r="B1281" s="20"/>
      <c r="C1281" s="21"/>
      <c r="D1281" s="21"/>
      <c r="E1281" s="14"/>
      <c r="F1281" s="22"/>
      <c r="G1281" s="23"/>
      <c r="H1281" s="2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</row>
    <row r="1282" customFormat="false" ht="15.75" hidden="false" customHeight="true" outlineLevel="0" collapsed="false">
      <c r="A1282" s="19"/>
      <c r="B1282" s="20"/>
      <c r="C1282" s="21"/>
      <c r="D1282" s="21"/>
      <c r="E1282" s="14"/>
      <c r="F1282" s="22"/>
      <c r="G1282" s="23"/>
      <c r="H1282" s="2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</row>
    <row r="1283" customFormat="false" ht="15.75" hidden="false" customHeight="true" outlineLevel="0" collapsed="false">
      <c r="A1283" s="19"/>
      <c r="B1283" s="20"/>
      <c r="C1283" s="21"/>
      <c r="D1283" s="21"/>
      <c r="E1283" s="14"/>
      <c r="F1283" s="22"/>
      <c r="G1283" s="23"/>
      <c r="H1283" s="2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</row>
    <row r="1284" customFormat="false" ht="15.75" hidden="false" customHeight="true" outlineLevel="0" collapsed="false">
      <c r="A1284" s="19"/>
      <c r="B1284" s="20"/>
      <c r="C1284" s="21"/>
      <c r="D1284" s="21"/>
      <c r="E1284" s="14"/>
      <c r="F1284" s="22"/>
      <c r="G1284" s="23"/>
      <c r="H1284" s="2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</row>
    <row r="1285" customFormat="false" ht="15.75" hidden="false" customHeight="true" outlineLevel="0" collapsed="false">
      <c r="A1285" s="19"/>
      <c r="B1285" s="20"/>
      <c r="C1285" s="21"/>
      <c r="D1285" s="21"/>
      <c r="E1285" s="14"/>
      <c r="F1285" s="22"/>
      <c r="G1285" s="23"/>
      <c r="H1285" s="2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</row>
    <row r="1286" customFormat="false" ht="15.75" hidden="false" customHeight="true" outlineLevel="0" collapsed="false"/>
    <row r="1287" customFormat="false" ht="15.75" hidden="false" customHeight="true" outlineLevel="0" collapsed="false"/>
    <row r="1288" customFormat="false" ht="15.75" hidden="false" customHeight="true" outlineLevel="0" collapsed="false"/>
    <row r="1289" customFormat="false" ht="15.75" hidden="false" customHeight="true" outlineLevel="0" collapsed="false"/>
    <row r="1290" customFormat="false" ht="15.75" hidden="false" customHeight="true" outlineLevel="0" collapsed="false"/>
    <row r="1291" customFormat="false" ht="15.75" hidden="false" customHeight="true" outlineLevel="0" collapsed="false"/>
    <row r="1292" customFormat="false" ht="15.75" hidden="false" customHeight="true" outlineLevel="0" collapsed="false"/>
    <row r="1293" customFormat="false" ht="15.75" hidden="false" customHeight="true" outlineLevel="0" collapsed="false"/>
    <row r="1294" customFormat="false" ht="15.75" hidden="false" customHeight="true" outlineLevel="0" collapsed="false"/>
    <row r="1295" customFormat="false" ht="15.75" hidden="false" customHeight="true" outlineLevel="0" collapsed="false"/>
    <row r="1296" customFormat="false" ht="15.75" hidden="false" customHeight="true" outlineLevel="0" collapsed="false"/>
    <row r="1297" customFormat="false" ht="15.75" hidden="false" customHeight="true" outlineLevel="0" collapsed="false"/>
    <row r="1298" customFormat="false" ht="15.75" hidden="false" customHeight="true" outlineLevel="0" collapsed="false"/>
    <row r="1299" customFormat="false" ht="15.75" hidden="false" customHeight="true" outlineLevel="0" collapsed="false"/>
    <row r="1300" customFormat="false" ht="15.75" hidden="false" customHeight="true" outlineLevel="0" collapsed="false"/>
    <row r="1301" customFormat="false" ht="15.75" hidden="false" customHeight="true" outlineLevel="0" collapsed="false"/>
    <row r="1302" customFormat="false" ht="15.75" hidden="false" customHeight="true" outlineLevel="0" collapsed="false"/>
    <row r="1303" customFormat="false" ht="15.75" hidden="false" customHeight="true" outlineLevel="0" collapsed="false"/>
    <row r="1304" customFormat="false" ht="15.75" hidden="false" customHeight="true" outlineLevel="0" collapsed="false"/>
    <row r="1305" customFormat="false" ht="15.75" hidden="false" customHeight="true" outlineLevel="0" collapsed="false"/>
    <row r="1306" customFormat="false" ht="15.75" hidden="false" customHeight="true" outlineLevel="0" collapsed="false"/>
    <row r="1307" customFormat="false" ht="15.75" hidden="false" customHeight="true" outlineLevel="0" collapsed="false"/>
    <row r="1308" customFormat="false" ht="15.75" hidden="false" customHeight="true" outlineLevel="0" collapsed="false"/>
    <row r="1309" customFormat="false" ht="15.75" hidden="false" customHeight="true" outlineLevel="0" collapsed="false"/>
    <row r="1310" customFormat="false" ht="15.75" hidden="false" customHeight="true" outlineLevel="0" collapsed="false"/>
    <row r="1311" customFormat="false" ht="15.75" hidden="false" customHeight="true" outlineLevel="0" collapsed="false"/>
    <row r="1312" customFormat="false" ht="15.75" hidden="false" customHeight="true" outlineLevel="0" collapsed="false"/>
    <row r="1313" customFormat="false" ht="15.75" hidden="false" customHeight="true" outlineLevel="0" collapsed="false"/>
    <row r="1314" customFormat="false" ht="15.75" hidden="false" customHeight="true" outlineLevel="0" collapsed="false"/>
    <row r="1315" customFormat="false" ht="15.75" hidden="false" customHeight="true" outlineLevel="0" collapsed="false"/>
    <row r="1316" customFormat="false" ht="15.75" hidden="false" customHeight="true" outlineLevel="0" collapsed="false"/>
    <row r="1317" customFormat="false" ht="15.75" hidden="false" customHeight="true" outlineLevel="0" collapsed="false"/>
    <row r="1318" customFormat="false" ht="15.75" hidden="false" customHeight="true" outlineLevel="0" collapsed="false"/>
    <row r="1319" customFormat="false" ht="15.75" hidden="false" customHeight="true" outlineLevel="0" collapsed="false"/>
    <row r="1320" customFormat="false" ht="15.75" hidden="false" customHeight="true" outlineLevel="0" collapsed="false"/>
    <row r="1321" customFormat="false" ht="15.75" hidden="false" customHeight="true" outlineLevel="0" collapsed="false"/>
    <row r="1322" customFormat="false" ht="15.75" hidden="false" customHeight="true" outlineLevel="0" collapsed="false"/>
    <row r="1323" customFormat="false" ht="15.75" hidden="false" customHeight="true" outlineLevel="0" collapsed="false"/>
    <row r="1324" customFormat="false" ht="15.75" hidden="false" customHeight="true" outlineLevel="0" collapsed="false"/>
    <row r="1325" customFormat="false" ht="15.75" hidden="false" customHeight="true" outlineLevel="0" collapsed="false"/>
    <row r="1326" customFormat="false" ht="15.75" hidden="false" customHeight="true" outlineLevel="0" collapsed="false"/>
    <row r="1327" customFormat="false" ht="15.75" hidden="false" customHeight="true" outlineLevel="0" collapsed="false"/>
    <row r="1328" customFormat="false" ht="15.75" hidden="false" customHeight="true" outlineLevel="0" collapsed="false"/>
    <row r="1329" customFormat="false" ht="15.75" hidden="false" customHeight="true" outlineLevel="0" collapsed="false"/>
    <row r="1330" customFormat="false" ht="15.75" hidden="false" customHeight="true" outlineLevel="0" collapsed="false"/>
    <row r="1331" customFormat="false" ht="15.75" hidden="false" customHeight="true" outlineLevel="0" collapsed="false"/>
    <row r="1332" customFormat="false" ht="15.75" hidden="false" customHeight="true" outlineLevel="0" collapsed="false"/>
    <row r="1333" customFormat="false" ht="15.75" hidden="false" customHeight="true" outlineLevel="0" collapsed="false"/>
    <row r="1334" customFormat="false" ht="15.75" hidden="false" customHeight="true" outlineLevel="0" collapsed="false"/>
    <row r="1335" customFormat="false" ht="15.75" hidden="false" customHeight="true" outlineLevel="0" collapsed="false"/>
    <row r="1336" customFormat="false" ht="15.75" hidden="false" customHeight="true" outlineLevel="0" collapsed="false"/>
    <row r="1337" customFormat="false" ht="15.75" hidden="false" customHeight="true" outlineLevel="0" collapsed="false"/>
    <row r="1338" customFormat="false" ht="15.75" hidden="false" customHeight="true" outlineLevel="0" collapsed="false"/>
    <row r="1339" customFormat="false" ht="15.75" hidden="false" customHeight="true" outlineLevel="0" collapsed="false"/>
    <row r="1340" customFormat="false" ht="15.75" hidden="false" customHeight="true" outlineLevel="0" collapsed="false"/>
    <row r="1341" customFormat="false" ht="15.75" hidden="false" customHeight="true" outlineLevel="0" collapsed="false"/>
    <row r="1342" customFormat="false" ht="15.75" hidden="false" customHeight="true" outlineLevel="0" collapsed="false"/>
    <row r="1343" customFormat="false" ht="15.75" hidden="false" customHeight="true" outlineLevel="0" collapsed="false"/>
    <row r="1344" customFormat="false" ht="15.75" hidden="false" customHeight="true" outlineLevel="0" collapsed="false"/>
    <row r="1345" customFormat="false" ht="15.75" hidden="false" customHeight="true" outlineLevel="0" collapsed="false"/>
    <row r="1346" customFormat="false" ht="15.75" hidden="false" customHeight="true" outlineLevel="0" collapsed="false"/>
    <row r="1347" customFormat="false" ht="15.75" hidden="false" customHeight="true" outlineLevel="0" collapsed="false"/>
    <row r="1348" customFormat="false" ht="15.75" hidden="false" customHeight="true" outlineLevel="0" collapsed="false"/>
    <row r="1349" customFormat="false" ht="15.75" hidden="false" customHeight="true" outlineLevel="0" collapsed="false"/>
    <row r="1350" customFormat="false" ht="15.75" hidden="false" customHeight="true" outlineLevel="0" collapsed="false"/>
    <row r="1351" customFormat="false" ht="15.75" hidden="false" customHeight="true" outlineLevel="0" collapsed="false"/>
    <row r="1352" customFormat="false" ht="15.75" hidden="false" customHeight="true" outlineLevel="0" collapsed="false"/>
    <row r="1353" customFormat="false" ht="15.75" hidden="false" customHeight="true" outlineLevel="0" collapsed="false"/>
    <row r="1354" customFormat="false" ht="15.75" hidden="false" customHeight="true" outlineLevel="0" collapsed="false"/>
    <row r="1355" customFormat="false" ht="15.75" hidden="false" customHeight="true" outlineLevel="0" collapsed="false"/>
    <row r="1356" customFormat="false" ht="15.75" hidden="false" customHeight="true" outlineLevel="0" collapsed="false"/>
    <row r="1357" customFormat="false" ht="15.75" hidden="false" customHeight="true" outlineLevel="0" collapsed="false"/>
    <row r="1358" customFormat="false" ht="15.75" hidden="false" customHeight="true" outlineLevel="0" collapsed="false"/>
    <row r="1359" customFormat="false" ht="15.75" hidden="false" customHeight="true" outlineLevel="0" collapsed="false"/>
    <row r="1360" customFormat="false" ht="15.75" hidden="false" customHeight="true" outlineLevel="0" collapsed="false"/>
    <row r="1361" customFormat="false" ht="15.75" hidden="false" customHeight="true" outlineLevel="0" collapsed="false"/>
    <row r="1362" customFormat="false" ht="15.75" hidden="false" customHeight="true" outlineLevel="0" collapsed="false"/>
    <row r="1363" customFormat="false" ht="15.75" hidden="false" customHeight="true" outlineLevel="0" collapsed="false"/>
    <row r="1364" customFormat="false" ht="15.75" hidden="false" customHeight="true" outlineLevel="0" collapsed="false"/>
    <row r="1365" customFormat="false" ht="15.75" hidden="false" customHeight="true" outlineLevel="0" collapsed="false"/>
    <row r="1366" customFormat="false" ht="15.75" hidden="false" customHeight="true" outlineLevel="0" collapsed="false"/>
    <row r="1367" customFormat="false" ht="15.75" hidden="false" customHeight="true" outlineLevel="0" collapsed="false"/>
    <row r="1368" customFormat="false" ht="15.75" hidden="false" customHeight="true" outlineLevel="0" collapsed="false"/>
    <row r="1369" customFormat="false" ht="15.75" hidden="false" customHeight="true" outlineLevel="0" collapsed="false"/>
    <row r="1370" customFormat="false" ht="15.75" hidden="false" customHeight="true" outlineLevel="0" collapsed="false"/>
    <row r="1371" customFormat="false" ht="15.75" hidden="false" customHeight="true" outlineLevel="0" collapsed="false"/>
    <row r="1372" customFormat="false" ht="15.75" hidden="false" customHeight="true" outlineLevel="0" collapsed="false"/>
    <row r="1373" customFormat="false" ht="15.75" hidden="false" customHeight="true" outlineLevel="0" collapsed="false"/>
    <row r="1374" customFormat="false" ht="15.75" hidden="false" customHeight="true" outlineLevel="0" collapsed="false"/>
    <row r="1375" customFormat="false" ht="15.75" hidden="false" customHeight="true" outlineLevel="0" collapsed="false"/>
    <row r="1376" customFormat="false" ht="15.75" hidden="false" customHeight="true" outlineLevel="0" collapsed="false"/>
    <row r="1377" customFormat="false" ht="15.75" hidden="false" customHeight="true" outlineLevel="0" collapsed="false"/>
    <row r="1378" customFormat="false" ht="15.75" hidden="false" customHeight="true" outlineLevel="0" collapsed="false"/>
    <row r="1379" customFormat="false" ht="15.75" hidden="false" customHeight="true" outlineLevel="0" collapsed="false"/>
    <row r="1380" customFormat="false" ht="15.75" hidden="false" customHeight="true" outlineLevel="0" collapsed="false"/>
    <row r="1381" customFormat="false" ht="15.75" hidden="false" customHeight="true" outlineLevel="0" collapsed="false"/>
    <row r="1382" customFormat="false" ht="15.75" hidden="false" customHeight="true" outlineLevel="0" collapsed="false"/>
    <row r="1383" customFormat="false" ht="15.75" hidden="false" customHeight="true" outlineLevel="0" collapsed="false"/>
    <row r="1384" customFormat="false" ht="15.75" hidden="false" customHeight="true" outlineLevel="0" collapsed="false"/>
    <row r="1385" customFormat="false" ht="15.75" hidden="false" customHeight="true" outlineLevel="0" collapsed="false"/>
    <row r="1386" customFormat="false" ht="15.75" hidden="false" customHeight="true" outlineLevel="0" collapsed="false"/>
    <row r="1387" customFormat="false" ht="15.75" hidden="false" customHeight="true" outlineLevel="0" collapsed="false"/>
    <row r="1388" customFormat="false" ht="15.75" hidden="false" customHeight="true" outlineLevel="0" collapsed="false"/>
    <row r="1389" customFormat="false" ht="15.75" hidden="false" customHeight="true" outlineLevel="0" collapsed="false"/>
    <row r="1390" customFormat="false" ht="15.75" hidden="false" customHeight="true" outlineLevel="0" collapsed="false"/>
    <row r="1391" customFormat="false" ht="15.75" hidden="false" customHeight="true" outlineLevel="0" collapsed="false"/>
    <row r="1392" customFormat="false" ht="15.75" hidden="false" customHeight="true" outlineLevel="0" collapsed="false"/>
    <row r="1393" customFormat="false" ht="15.75" hidden="false" customHeight="true" outlineLevel="0" collapsed="false"/>
    <row r="1394" customFormat="false" ht="15.75" hidden="false" customHeight="true" outlineLevel="0" collapsed="false"/>
    <row r="1395" customFormat="false" ht="15.75" hidden="false" customHeight="true" outlineLevel="0" collapsed="false"/>
    <row r="1396" customFormat="false" ht="15.75" hidden="false" customHeight="true" outlineLevel="0" collapsed="false"/>
    <row r="1397" customFormat="false" ht="15.75" hidden="false" customHeight="true" outlineLevel="0" collapsed="false"/>
    <row r="1398" customFormat="false" ht="15.75" hidden="false" customHeight="true" outlineLevel="0" collapsed="false"/>
    <row r="1399" customFormat="false" ht="15.75" hidden="false" customHeight="true" outlineLevel="0" collapsed="false"/>
    <row r="1400" customFormat="false" ht="15.75" hidden="false" customHeight="true" outlineLevel="0" collapsed="false"/>
    <row r="1401" customFormat="false" ht="15.75" hidden="false" customHeight="true" outlineLevel="0" collapsed="false"/>
    <row r="1402" customFormat="false" ht="15.75" hidden="false" customHeight="true" outlineLevel="0" collapsed="false"/>
    <row r="1403" customFormat="false" ht="15.75" hidden="false" customHeight="true" outlineLevel="0" collapsed="false"/>
    <row r="1404" customFormat="false" ht="15.75" hidden="false" customHeight="true" outlineLevel="0" collapsed="false"/>
    <row r="1405" customFormat="false" ht="15.75" hidden="false" customHeight="true" outlineLevel="0" collapsed="false"/>
    <row r="1406" customFormat="false" ht="15.75" hidden="false" customHeight="true" outlineLevel="0" collapsed="false"/>
    <row r="1407" customFormat="false" ht="15.75" hidden="false" customHeight="true" outlineLevel="0" collapsed="false"/>
    <row r="1408" customFormat="false" ht="15.75" hidden="false" customHeight="true" outlineLevel="0" collapsed="false"/>
    <row r="1409" customFormat="false" ht="15.75" hidden="false" customHeight="true" outlineLevel="0" collapsed="false"/>
    <row r="1410" customFormat="false" ht="15.75" hidden="false" customHeight="true" outlineLevel="0" collapsed="false"/>
    <row r="1411" customFormat="false" ht="15.75" hidden="false" customHeight="true" outlineLevel="0" collapsed="false"/>
    <row r="1412" customFormat="false" ht="15.75" hidden="false" customHeight="true" outlineLevel="0" collapsed="false"/>
    <row r="1413" customFormat="false" ht="15.75" hidden="false" customHeight="true" outlineLevel="0" collapsed="false"/>
    <row r="1414" customFormat="false" ht="15.75" hidden="false" customHeight="true" outlineLevel="0" collapsed="false"/>
    <row r="1415" customFormat="false" ht="15.75" hidden="false" customHeight="true" outlineLevel="0" collapsed="false"/>
    <row r="1416" customFormat="false" ht="15.75" hidden="false" customHeight="true" outlineLevel="0" collapsed="false"/>
    <row r="1417" customFormat="false" ht="15.75" hidden="false" customHeight="true" outlineLevel="0" collapsed="false"/>
    <row r="1418" customFormat="false" ht="15.75" hidden="false" customHeight="true" outlineLevel="0" collapsed="false"/>
    <row r="1419" customFormat="false" ht="15.75" hidden="false" customHeight="true" outlineLevel="0" collapsed="false"/>
    <row r="1420" customFormat="false" ht="15.75" hidden="false" customHeight="true" outlineLevel="0" collapsed="false"/>
    <row r="1421" customFormat="false" ht="15.75" hidden="false" customHeight="true" outlineLevel="0" collapsed="false"/>
    <row r="1422" customFormat="false" ht="15.75" hidden="false" customHeight="true" outlineLevel="0" collapsed="false"/>
    <row r="1423" customFormat="false" ht="15.75" hidden="false" customHeight="true" outlineLevel="0" collapsed="false"/>
    <row r="1424" customFormat="false" ht="15.75" hidden="false" customHeight="true" outlineLevel="0" collapsed="false"/>
    <row r="1425" customFormat="false" ht="15.75" hidden="false" customHeight="true" outlineLevel="0" collapsed="false"/>
    <row r="1426" customFormat="false" ht="15.75" hidden="false" customHeight="true" outlineLevel="0" collapsed="false"/>
    <row r="1427" customFormat="false" ht="15.75" hidden="false" customHeight="true" outlineLevel="0" collapsed="false"/>
    <row r="1428" customFormat="false" ht="15.75" hidden="false" customHeight="true" outlineLevel="0" collapsed="false"/>
    <row r="1429" customFormat="false" ht="15.75" hidden="false" customHeight="true" outlineLevel="0" collapsed="false"/>
    <row r="1430" customFormat="false" ht="15.75" hidden="false" customHeight="true" outlineLevel="0" collapsed="false"/>
    <row r="1431" customFormat="false" ht="15.75" hidden="false" customHeight="true" outlineLevel="0" collapsed="false"/>
    <row r="1432" customFormat="false" ht="15.75" hidden="false" customHeight="true" outlineLevel="0" collapsed="false"/>
    <row r="1433" customFormat="false" ht="15.75" hidden="false" customHeight="true" outlineLevel="0" collapsed="false"/>
    <row r="1434" customFormat="false" ht="15.75" hidden="false" customHeight="true" outlineLevel="0" collapsed="false"/>
    <row r="1435" customFormat="false" ht="15.75" hidden="false" customHeight="true" outlineLevel="0" collapsed="false"/>
    <row r="1436" customFormat="false" ht="15.75" hidden="false" customHeight="true" outlineLevel="0" collapsed="false"/>
    <row r="1437" customFormat="false" ht="15.75" hidden="false" customHeight="true" outlineLevel="0" collapsed="false"/>
    <row r="1438" customFormat="false" ht="15.75" hidden="false" customHeight="true" outlineLevel="0" collapsed="false"/>
    <row r="1439" customFormat="false" ht="15.75" hidden="false" customHeight="true" outlineLevel="0" collapsed="false"/>
    <row r="1440" customFormat="false" ht="15.75" hidden="false" customHeight="true" outlineLevel="0" collapsed="false"/>
    <row r="1441" customFormat="false" ht="15.75" hidden="false" customHeight="true" outlineLevel="0" collapsed="false"/>
    <row r="1442" customFormat="false" ht="15.75" hidden="false" customHeight="true" outlineLevel="0" collapsed="false"/>
    <row r="1443" customFormat="false" ht="15.75" hidden="false" customHeight="true" outlineLevel="0" collapsed="false"/>
    <row r="1444" customFormat="false" ht="15.75" hidden="false" customHeight="true" outlineLevel="0" collapsed="false"/>
    <row r="1445" customFormat="false" ht="15.75" hidden="false" customHeight="true" outlineLevel="0" collapsed="false"/>
    <row r="1446" customFormat="false" ht="15.75" hidden="false" customHeight="true" outlineLevel="0" collapsed="false"/>
    <row r="1447" customFormat="false" ht="15.75" hidden="false" customHeight="true" outlineLevel="0" collapsed="false"/>
    <row r="1448" customFormat="false" ht="15.75" hidden="false" customHeight="true" outlineLevel="0" collapsed="false"/>
    <row r="1449" customFormat="false" ht="15.75" hidden="false" customHeight="true" outlineLevel="0" collapsed="false"/>
    <row r="1450" customFormat="false" ht="15.75" hidden="false" customHeight="true" outlineLevel="0" collapsed="false"/>
    <row r="1451" customFormat="false" ht="15.75" hidden="false" customHeight="true" outlineLevel="0" collapsed="false"/>
    <row r="1452" customFormat="false" ht="15.75" hidden="false" customHeight="true" outlineLevel="0" collapsed="false"/>
    <row r="1453" customFormat="false" ht="15.75" hidden="false" customHeight="true" outlineLevel="0" collapsed="false"/>
    <row r="1454" customFormat="false" ht="15.75" hidden="false" customHeight="true" outlineLevel="0" collapsed="false"/>
    <row r="1455" customFormat="false" ht="15.75" hidden="false" customHeight="true" outlineLevel="0" collapsed="false"/>
    <row r="1456" customFormat="false" ht="15.75" hidden="false" customHeight="true" outlineLevel="0" collapsed="false"/>
    <row r="1457" customFormat="false" ht="15.75" hidden="false" customHeight="true" outlineLevel="0" collapsed="false"/>
    <row r="1458" customFormat="false" ht="15.75" hidden="false" customHeight="true" outlineLevel="0" collapsed="false"/>
    <row r="1459" customFormat="false" ht="15.75" hidden="false" customHeight="true" outlineLevel="0" collapsed="false"/>
    <row r="1460" customFormat="false" ht="15.75" hidden="false" customHeight="true" outlineLevel="0" collapsed="false"/>
    <row r="1461" customFormat="false" ht="15.75" hidden="false" customHeight="true" outlineLevel="0" collapsed="false"/>
    <row r="1462" customFormat="false" ht="15.75" hidden="false" customHeight="true" outlineLevel="0" collapsed="false"/>
    <row r="1463" customFormat="false" ht="15.75" hidden="false" customHeight="true" outlineLevel="0" collapsed="false"/>
    <row r="1464" customFormat="false" ht="15.75" hidden="false" customHeight="true" outlineLevel="0" collapsed="false"/>
    <row r="1465" customFormat="false" ht="15.75" hidden="false" customHeight="true" outlineLevel="0" collapsed="false"/>
    <row r="1466" customFormat="false" ht="15.75" hidden="false" customHeight="true" outlineLevel="0" collapsed="false"/>
    <row r="1467" customFormat="false" ht="15.75" hidden="false" customHeight="true" outlineLevel="0" collapsed="false"/>
    <row r="1468" customFormat="false" ht="15.75" hidden="false" customHeight="true" outlineLevel="0" collapsed="false"/>
    <row r="1469" customFormat="false" ht="15.75" hidden="false" customHeight="true" outlineLevel="0" collapsed="false"/>
    <row r="1470" customFormat="false" ht="15.75" hidden="false" customHeight="true" outlineLevel="0" collapsed="false"/>
    <row r="1471" customFormat="false" ht="15.75" hidden="false" customHeight="true" outlineLevel="0" collapsed="false"/>
    <row r="1472" customFormat="false" ht="15.75" hidden="false" customHeight="true" outlineLevel="0" collapsed="false"/>
    <row r="1473" customFormat="false" ht="15.75" hidden="false" customHeight="true" outlineLevel="0" collapsed="false"/>
    <row r="1474" customFormat="false" ht="15.75" hidden="false" customHeight="true" outlineLevel="0" collapsed="false"/>
    <row r="1475" customFormat="false" ht="15.75" hidden="false" customHeight="true" outlineLevel="0" collapsed="false"/>
    <row r="1476" customFormat="false" ht="15.75" hidden="false" customHeight="true" outlineLevel="0" collapsed="false"/>
    <row r="1477" customFormat="false" ht="15.75" hidden="false" customHeight="true" outlineLevel="0" collapsed="false"/>
    <row r="1478" customFormat="false" ht="15.75" hidden="false" customHeight="true" outlineLevel="0" collapsed="false"/>
    <row r="1479" customFormat="false" ht="15.75" hidden="false" customHeight="true" outlineLevel="0" collapsed="false"/>
    <row r="1480" customFormat="false" ht="15.75" hidden="false" customHeight="true" outlineLevel="0" collapsed="false"/>
    <row r="1481" customFormat="false" ht="15.75" hidden="false" customHeight="true" outlineLevel="0" collapsed="false"/>
    <row r="1482" customFormat="false" ht="15.75" hidden="false" customHeight="true" outlineLevel="0" collapsed="false"/>
    <row r="1483" customFormat="false" ht="15.75" hidden="false" customHeight="true" outlineLevel="0" collapsed="false"/>
    <row r="1484" customFormat="false" ht="15.75" hidden="false" customHeight="true" outlineLevel="0" collapsed="false"/>
    <row r="1485" customFormat="false" ht="15.75" hidden="false" customHeight="true" outlineLevel="0" collapsed="false"/>
    <row r="1486" customFormat="false" ht="15.75" hidden="false" customHeight="true" outlineLevel="0" collapsed="false"/>
    <row r="1487" customFormat="false" ht="15.75" hidden="false" customHeight="true" outlineLevel="0" collapsed="false"/>
    <row r="1488" customFormat="false" ht="15.75" hidden="false" customHeight="true" outlineLevel="0" collapsed="false"/>
    <row r="1489" customFormat="false" ht="15.75" hidden="false" customHeight="true" outlineLevel="0" collapsed="false"/>
    <row r="1490" customFormat="false" ht="15.75" hidden="false" customHeight="true" outlineLevel="0" collapsed="false"/>
    <row r="1491" customFormat="false" ht="15.75" hidden="false" customHeight="true" outlineLevel="0" collapsed="false"/>
    <row r="1492" customFormat="false" ht="15.75" hidden="false" customHeight="true" outlineLevel="0" collapsed="false"/>
    <row r="1493" customFormat="false" ht="15.75" hidden="false" customHeight="true" outlineLevel="0" collapsed="false"/>
    <row r="1494" customFormat="false" ht="15.75" hidden="false" customHeight="true" outlineLevel="0" collapsed="false"/>
    <row r="1495" customFormat="false" ht="15.75" hidden="false" customHeight="true" outlineLevel="0" collapsed="false"/>
    <row r="1496" customFormat="false" ht="15.75" hidden="false" customHeight="true" outlineLevel="0" collapsed="false"/>
    <row r="1497" customFormat="false" ht="15.75" hidden="false" customHeight="true" outlineLevel="0" collapsed="false"/>
    <row r="1498" customFormat="false" ht="15.75" hidden="false" customHeight="true" outlineLevel="0" collapsed="false"/>
    <row r="1499" customFormat="false" ht="15.75" hidden="false" customHeight="true" outlineLevel="0" collapsed="false"/>
    <row r="1500" customFormat="false" ht="15.75" hidden="false" customHeight="true" outlineLevel="0" collapsed="false"/>
    <row r="1501" customFormat="false" ht="15.75" hidden="false" customHeight="true" outlineLevel="0" collapsed="false"/>
    <row r="1502" customFormat="false" ht="15.75" hidden="false" customHeight="true" outlineLevel="0" collapsed="false"/>
    <row r="1503" customFormat="false" ht="15.75" hidden="false" customHeight="true" outlineLevel="0" collapsed="false"/>
    <row r="1504" customFormat="false" ht="15.75" hidden="false" customHeight="true" outlineLevel="0" collapsed="false"/>
    <row r="1505" customFormat="false" ht="15.75" hidden="false" customHeight="true" outlineLevel="0" collapsed="false"/>
    <row r="1506" customFormat="false" ht="15.75" hidden="false" customHeight="true" outlineLevel="0" collapsed="false"/>
    <row r="1507" customFormat="false" ht="15.75" hidden="false" customHeight="true" outlineLevel="0" collapsed="false"/>
    <row r="1508" customFormat="false" ht="15.75" hidden="false" customHeight="true" outlineLevel="0" collapsed="false"/>
    <row r="1509" customFormat="false" ht="15.75" hidden="false" customHeight="true" outlineLevel="0" collapsed="false"/>
    <row r="1510" customFormat="false" ht="15.75" hidden="false" customHeight="true" outlineLevel="0" collapsed="false"/>
    <row r="1511" customFormat="false" ht="15.75" hidden="false" customHeight="true" outlineLevel="0" collapsed="false"/>
    <row r="1512" customFormat="false" ht="15.75" hidden="false" customHeight="true" outlineLevel="0" collapsed="false"/>
    <row r="1513" customFormat="false" ht="15.75" hidden="false" customHeight="true" outlineLevel="0" collapsed="false"/>
    <row r="1514" customFormat="false" ht="15.75" hidden="false" customHeight="true" outlineLevel="0" collapsed="false"/>
    <row r="1515" customFormat="false" ht="15.75" hidden="false" customHeight="true" outlineLevel="0" collapsed="false"/>
    <row r="1516" customFormat="false" ht="15.75" hidden="false" customHeight="true" outlineLevel="0" collapsed="false"/>
    <row r="1517" customFormat="false" ht="15.75" hidden="false" customHeight="true" outlineLevel="0" collapsed="false"/>
    <row r="1518" customFormat="false" ht="15.75" hidden="false" customHeight="true" outlineLevel="0" collapsed="false"/>
    <row r="1519" customFormat="false" ht="15.75" hidden="false" customHeight="true" outlineLevel="0" collapsed="false"/>
    <row r="1520" customFormat="false" ht="15.75" hidden="false" customHeight="true" outlineLevel="0" collapsed="false"/>
    <row r="1521" customFormat="false" ht="15.75" hidden="false" customHeight="true" outlineLevel="0" collapsed="false"/>
    <row r="1522" customFormat="false" ht="15.75" hidden="false" customHeight="true" outlineLevel="0" collapsed="false"/>
    <row r="1523" customFormat="false" ht="15.75" hidden="false" customHeight="true" outlineLevel="0" collapsed="false"/>
    <row r="1524" customFormat="false" ht="15.75" hidden="false" customHeight="true" outlineLevel="0" collapsed="false"/>
    <row r="1525" customFormat="false" ht="15.75" hidden="false" customHeight="true" outlineLevel="0" collapsed="false"/>
    <row r="1526" customFormat="false" ht="15.75" hidden="false" customHeight="true" outlineLevel="0" collapsed="false"/>
    <row r="1527" customFormat="false" ht="15.75" hidden="false" customHeight="true" outlineLevel="0" collapsed="false"/>
    <row r="1528" customFormat="false" ht="15.75" hidden="false" customHeight="true" outlineLevel="0" collapsed="false"/>
    <row r="1529" customFormat="false" ht="15.75" hidden="false" customHeight="true" outlineLevel="0" collapsed="false"/>
    <row r="1530" customFormat="false" ht="15.75" hidden="false" customHeight="true" outlineLevel="0" collapsed="false"/>
    <row r="1531" customFormat="false" ht="15.75" hidden="false" customHeight="true" outlineLevel="0" collapsed="false"/>
    <row r="1532" customFormat="false" ht="15.75" hidden="false" customHeight="true" outlineLevel="0" collapsed="false"/>
    <row r="1533" customFormat="false" ht="15.75" hidden="false" customHeight="true" outlineLevel="0" collapsed="false"/>
    <row r="1534" customFormat="false" ht="15.75" hidden="false" customHeight="true" outlineLevel="0" collapsed="false"/>
    <row r="1535" customFormat="false" ht="15.75" hidden="false" customHeight="true" outlineLevel="0" collapsed="false"/>
    <row r="1536" customFormat="false" ht="15.75" hidden="false" customHeight="true" outlineLevel="0" collapsed="false"/>
    <row r="1537" customFormat="false" ht="15.75" hidden="false" customHeight="true" outlineLevel="0" collapsed="false"/>
    <row r="1538" customFormat="false" ht="15.75" hidden="false" customHeight="true" outlineLevel="0" collapsed="false"/>
    <row r="1539" customFormat="false" ht="15.75" hidden="false" customHeight="true" outlineLevel="0" collapsed="false"/>
    <row r="1540" customFormat="false" ht="15.75" hidden="false" customHeight="true" outlineLevel="0" collapsed="false"/>
    <row r="1541" customFormat="false" ht="15.75" hidden="false" customHeight="true" outlineLevel="0" collapsed="false"/>
    <row r="1542" customFormat="false" ht="15.75" hidden="false" customHeight="true" outlineLevel="0" collapsed="false"/>
    <row r="1543" customFormat="false" ht="15.75" hidden="false" customHeight="true" outlineLevel="0" collapsed="false"/>
    <row r="1544" customFormat="false" ht="15.75" hidden="false" customHeight="true" outlineLevel="0" collapsed="false"/>
    <row r="1545" customFormat="false" ht="15.75" hidden="false" customHeight="true" outlineLevel="0" collapsed="false"/>
    <row r="1546" customFormat="false" ht="15.75" hidden="false" customHeight="true" outlineLevel="0" collapsed="false"/>
    <row r="1547" customFormat="false" ht="15.75" hidden="false" customHeight="true" outlineLevel="0" collapsed="false"/>
    <row r="1548" customFormat="false" ht="15.75" hidden="false" customHeight="true" outlineLevel="0" collapsed="false"/>
    <row r="1549" customFormat="false" ht="15.75" hidden="false" customHeight="true" outlineLevel="0" collapsed="false"/>
    <row r="1550" customFormat="false" ht="15.75" hidden="false" customHeight="true" outlineLevel="0" collapsed="false"/>
    <row r="1551" customFormat="false" ht="15.75" hidden="false" customHeight="true" outlineLevel="0" collapsed="false"/>
    <row r="1552" customFormat="false" ht="15.75" hidden="false" customHeight="true" outlineLevel="0" collapsed="false"/>
    <row r="1553" customFormat="false" ht="15.75" hidden="false" customHeight="true" outlineLevel="0" collapsed="false"/>
    <row r="1554" customFormat="false" ht="15.75" hidden="false" customHeight="true" outlineLevel="0" collapsed="false"/>
    <row r="1555" customFormat="false" ht="15.75" hidden="false" customHeight="true" outlineLevel="0" collapsed="false"/>
    <row r="1556" customFormat="false" ht="15.75" hidden="false" customHeight="true" outlineLevel="0" collapsed="false"/>
    <row r="1557" customFormat="false" ht="15.75" hidden="false" customHeight="true" outlineLevel="0" collapsed="false"/>
    <row r="1558" customFormat="false" ht="15.75" hidden="false" customHeight="true" outlineLevel="0" collapsed="false"/>
    <row r="1559" customFormat="false" ht="15.75" hidden="false" customHeight="true" outlineLevel="0" collapsed="false"/>
    <row r="1560" customFormat="false" ht="15.75" hidden="false" customHeight="true" outlineLevel="0" collapsed="false"/>
    <row r="1561" customFormat="false" ht="15.75" hidden="false" customHeight="true" outlineLevel="0" collapsed="false"/>
    <row r="1562" customFormat="false" ht="15.75" hidden="false" customHeight="true" outlineLevel="0" collapsed="false"/>
    <row r="1563" customFormat="false" ht="15.75" hidden="false" customHeight="true" outlineLevel="0" collapsed="false"/>
    <row r="1564" customFormat="false" ht="15.75" hidden="false" customHeight="true" outlineLevel="0" collapsed="false"/>
    <row r="1565" customFormat="false" ht="15.75" hidden="false" customHeight="true" outlineLevel="0" collapsed="false"/>
    <row r="1566" customFormat="false" ht="15.75" hidden="false" customHeight="true" outlineLevel="0" collapsed="false"/>
    <row r="1567" customFormat="false" ht="15.75" hidden="false" customHeight="true" outlineLevel="0" collapsed="false"/>
    <row r="1568" customFormat="false" ht="15.75" hidden="false" customHeight="true" outlineLevel="0" collapsed="false"/>
    <row r="1569" customFormat="false" ht="15.75" hidden="false" customHeight="true" outlineLevel="0" collapsed="false"/>
    <row r="1570" customFormat="false" ht="15.75" hidden="false" customHeight="true" outlineLevel="0" collapsed="false"/>
    <row r="1571" customFormat="false" ht="15.75" hidden="false" customHeight="true" outlineLevel="0" collapsed="false"/>
    <row r="1572" customFormat="false" ht="15.75" hidden="false" customHeight="true" outlineLevel="0" collapsed="false"/>
    <row r="1573" customFormat="false" ht="15.75" hidden="false" customHeight="true" outlineLevel="0" collapsed="false"/>
    <row r="1574" customFormat="false" ht="15.75" hidden="false" customHeight="true" outlineLevel="0" collapsed="false"/>
    <row r="1575" customFormat="false" ht="15.75" hidden="false" customHeight="true" outlineLevel="0" collapsed="false"/>
    <row r="1576" customFormat="false" ht="15.75" hidden="false" customHeight="true" outlineLevel="0" collapsed="false"/>
    <row r="1577" customFormat="false" ht="15.75" hidden="false" customHeight="true" outlineLevel="0" collapsed="false"/>
    <row r="1578" customFormat="false" ht="15.75" hidden="false" customHeight="true" outlineLevel="0" collapsed="false"/>
    <row r="1579" customFormat="false" ht="15.75" hidden="false" customHeight="true" outlineLevel="0" collapsed="false"/>
    <row r="1580" customFormat="false" ht="15.75" hidden="false" customHeight="true" outlineLevel="0" collapsed="false"/>
    <row r="1581" customFormat="false" ht="15.75" hidden="false" customHeight="true" outlineLevel="0" collapsed="false"/>
    <row r="1582" customFormat="false" ht="15.75" hidden="false" customHeight="true" outlineLevel="0" collapsed="false"/>
    <row r="1583" customFormat="false" ht="15.75" hidden="false" customHeight="true" outlineLevel="0" collapsed="false"/>
    <row r="1584" customFormat="false" ht="15.75" hidden="false" customHeight="true" outlineLevel="0" collapsed="false"/>
    <row r="1585" customFormat="false" ht="15.75" hidden="false" customHeight="true" outlineLevel="0" collapsed="false"/>
    <row r="1586" customFormat="false" ht="15.75" hidden="false" customHeight="true" outlineLevel="0" collapsed="false"/>
    <row r="1587" customFormat="false" ht="15.75" hidden="false" customHeight="true" outlineLevel="0" collapsed="false"/>
    <row r="1588" customFormat="false" ht="15.75" hidden="false" customHeight="true" outlineLevel="0" collapsed="false"/>
    <row r="1589" customFormat="false" ht="15.75" hidden="false" customHeight="true" outlineLevel="0" collapsed="false"/>
    <row r="1590" customFormat="false" ht="15.75" hidden="false" customHeight="true" outlineLevel="0" collapsed="false"/>
    <row r="1591" customFormat="false" ht="15.75" hidden="false" customHeight="true" outlineLevel="0" collapsed="false"/>
    <row r="1592" customFormat="false" ht="15.75" hidden="false" customHeight="true" outlineLevel="0" collapsed="false"/>
    <row r="1593" customFormat="false" ht="15.75" hidden="false" customHeight="true" outlineLevel="0" collapsed="false"/>
    <row r="1594" customFormat="false" ht="15.75" hidden="false" customHeight="true" outlineLevel="0" collapsed="false"/>
    <row r="1595" customFormat="false" ht="15.75" hidden="false" customHeight="true" outlineLevel="0" collapsed="false"/>
    <row r="1596" customFormat="false" ht="15.75" hidden="false" customHeight="true" outlineLevel="0" collapsed="false"/>
    <row r="1597" customFormat="false" ht="15.75" hidden="false" customHeight="true" outlineLevel="0" collapsed="false"/>
    <row r="1598" customFormat="false" ht="15.75" hidden="false" customHeight="true" outlineLevel="0" collapsed="false"/>
    <row r="1599" customFormat="false" ht="15.75" hidden="false" customHeight="true" outlineLevel="0" collapsed="false"/>
    <row r="1600" customFormat="false" ht="15.75" hidden="false" customHeight="true" outlineLevel="0" collapsed="false"/>
    <row r="1601" customFormat="false" ht="15.75" hidden="false" customHeight="true" outlineLevel="0" collapsed="false"/>
    <row r="1602" customFormat="false" ht="15.75" hidden="false" customHeight="true" outlineLevel="0" collapsed="false"/>
    <row r="1603" customFormat="false" ht="15.75" hidden="false" customHeight="true" outlineLevel="0" collapsed="false"/>
    <row r="1604" customFormat="false" ht="15.75" hidden="false" customHeight="true" outlineLevel="0" collapsed="false"/>
    <row r="1605" customFormat="false" ht="15.75" hidden="false" customHeight="true" outlineLevel="0" collapsed="false"/>
    <row r="1606" customFormat="false" ht="15.75" hidden="false" customHeight="true" outlineLevel="0" collapsed="false"/>
    <row r="1607" customFormat="false" ht="15.75" hidden="false" customHeight="true" outlineLevel="0" collapsed="false"/>
    <row r="1608" customFormat="false" ht="15.75" hidden="false" customHeight="true" outlineLevel="0" collapsed="false"/>
    <row r="1609" customFormat="false" ht="15.75" hidden="false" customHeight="true" outlineLevel="0" collapsed="false"/>
    <row r="1610" customFormat="false" ht="15.75" hidden="false" customHeight="true" outlineLevel="0" collapsed="false"/>
    <row r="1611" customFormat="false" ht="15.75" hidden="false" customHeight="true" outlineLevel="0" collapsed="false"/>
    <row r="1612" customFormat="false" ht="15.75" hidden="false" customHeight="true" outlineLevel="0" collapsed="false"/>
    <row r="1613" customFormat="false" ht="15.75" hidden="false" customHeight="true" outlineLevel="0" collapsed="false"/>
    <row r="1614" customFormat="false" ht="15.75" hidden="false" customHeight="true" outlineLevel="0" collapsed="false"/>
    <row r="1615" customFormat="false" ht="15.75" hidden="false" customHeight="true" outlineLevel="0" collapsed="false"/>
    <row r="1616" customFormat="false" ht="15.75" hidden="false" customHeight="true" outlineLevel="0" collapsed="false"/>
    <row r="1617" customFormat="false" ht="15.75" hidden="false" customHeight="true" outlineLevel="0" collapsed="false"/>
    <row r="1618" customFormat="false" ht="15.75" hidden="false" customHeight="true" outlineLevel="0" collapsed="false"/>
    <row r="1619" customFormat="false" ht="15.75" hidden="false" customHeight="true" outlineLevel="0" collapsed="false"/>
    <row r="1620" customFormat="false" ht="15.75" hidden="false" customHeight="true" outlineLevel="0" collapsed="false"/>
    <row r="1621" customFormat="false" ht="15.75" hidden="false" customHeight="true" outlineLevel="0" collapsed="false"/>
    <row r="1622" customFormat="false" ht="15.75" hidden="false" customHeight="true" outlineLevel="0" collapsed="false"/>
    <row r="1623" customFormat="false" ht="15.75" hidden="false" customHeight="true" outlineLevel="0" collapsed="false"/>
    <row r="1624" customFormat="false" ht="15.75" hidden="false" customHeight="true" outlineLevel="0" collapsed="false"/>
    <row r="1625" customFormat="false" ht="15.75" hidden="false" customHeight="true" outlineLevel="0" collapsed="false"/>
    <row r="1626" customFormat="false" ht="15.75" hidden="false" customHeight="true" outlineLevel="0" collapsed="false"/>
    <row r="1627" customFormat="false" ht="15.75" hidden="false" customHeight="true" outlineLevel="0" collapsed="false"/>
    <row r="1628" customFormat="false" ht="15.75" hidden="false" customHeight="true" outlineLevel="0" collapsed="false"/>
    <row r="1629" customFormat="false" ht="15.75" hidden="false" customHeight="true" outlineLevel="0" collapsed="false"/>
    <row r="1630" customFormat="false" ht="15.75" hidden="false" customHeight="true" outlineLevel="0" collapsed="false"/>
    <row r="1631" customFormat="false" ht="15.75" hidden="false" customHeight="true" outlineLevel="0" collapsed="false"/>
    <row r="1632" customFormat="false" ht="15.75" hidden="false" customHeight="true" outlineLevel="0" collapsed="false"/>
    <row r="1633" customFormat="false" ht="15.75" hidden="false" customHeight="true" outlineLevel="0" collapsed="false"/>
    <row r="1634" customFormat="false" ht="15.75" hidden="false" customHeight="true" outlineLevel="0" collapsed="false"/>
    <row r="1635" customFormat="false" ht="15.75" hidden="false" customHeight="true" outlineLevel="0" collapsed="false"/>
    <row r="1636" customFormat="false" ht="15.75" hidden="false" customHeight="true" outlineLevel="0" collapsed="false"/>
    <row r="1637" customFormat="false" ht="15.75" hidden="false" customHeight="true" outlineLevel="0" collapsed="false"/>
    <row r="1638" customFormat="false" ht="15.75" hidden="false" customHeight="true" outlineLevel="0" collapsed="false"/>
    <row r="1639" customFormat="false" ht="15.75" hidden="false" customHeight="true" outlineLevel="0" collapsed="false"/>
    <row r="1640" customFormat="false" ht="15.75" hidden="false" customHeight="true" outlineLevel="0" collapsed="false"/>
    <row r="1641" customFormat="false" ht="15.75" hidden="false" customHeight="true" outlineLevel="0" collapsed="false"/>
    <row r="1642" customFormat="false" ht="15.75" hidden="false" customHeight="true" outlineLevel="0" collapsed="false"/>
    <row r="1643" customFormat="false" ht="15.75" hidden="false" customHeight="true" outlineLevel="0" collapsed="false"/>
    <row r="1644" customFormat="false" ht="15.75" hidden="false" customHeight="true" outlineLevel="0" collapsed="false"/>
    <row r="1645" customFormat="false" ht="15.75" hidden="false" customHeight="true" outlineLevel="0" collapsed="false"/>
    <row r="1646" customFormat="false" ht="15.75" hidden="false" customHeight="true" outlineLevel="0" collapsed="false"/>
    <row r="1647" customFormat="false" ht="15.75" hidden="false" customHeight="true" outlineLevel="0" collapsed="false"/>
    <row r="1648" customFormat="false" ht="15.75" hidden="false" customHeight="true" outlineLevel="0" collapsed="false"/>
    <row r="1649" customFormat="false" ht="15.75" hidden="false" customHeight="true" outlineLevel="0" collapsed="false"/>
    <row r="1650" customFormat="false" ht="15.75" hidden="false" customHeight="true" outlineLevel="0" collapsed="false"/>
    <row r="1651" customFormat="false" ht="15.75" hidden="false" customHeight="true" outlineLevel="0" collapsed="false"/>
    <row r="1652" customFormat="false" ht="15.75" hidden="false" customHeight="true" outlineLevel="0" collapsed="false"/>
    <row r="1653" customFormat="false" ht="15.75" hidden="false" customHeight="true" outlineLevel="0" collapsed="false"/>
    <row r="1654" customFormat="false" ht="15.75" hidden="false" customHeight="true" outlineLevel="0" collapsed="false"/>
    <row r="1655" customFormat="false" ht="15.75" hidden="false" customHeight="true" outlineLevel="0" collapsed="false"/>
    <row r="1656" customFormat="false" ht="15.75" hidden="false" customHeight="true" outlineLevel="0" collapsed="false"/>
    <row r="1657" customFormat="false" ht="15.75" hidden="false" customHeight="true" outlineLevel="0" collapsed="false"/>
    <row r="1658" customFormat="false" ht="15.75" hidden="false" customHeight="true" outlineLevel="0" collapsed="false"/>
    <row r="1659" customFormat="false" ht="15.75" hidden="false" customHeight="true" outlineLevel="0" collapsed="false"/>
    <row r="1660" customFormat="false" ht="15.75" hidden="false" customHeight="true" outlineLevel="0" collapsed="false"/>
    <row r="1661" customFormat="false" ht="15.75" hidden="false" customHeight="true" outlineLevel="0" collapsed="false"/>
    <row r="1662" customFormat="false" ht="15.75" hidden="false" customHeight="true" outlineLevel="0" collapsed="false"/>
    <row r="1663" customFormat="false" ht="15.75" hidden="false" customHeight="true" outlineLevel="0" collapsed="false"/>
    <row r="1664" customFormat="false" ht="15.75" hidden="false" customHeight="true" outlineLevel="0" collapsed="false"/>
    <row r="1665" customFormat="false" ht="15.75" hidden="false" customHeight="true" outlineLevel="0" collapsed="false"/>
    <row r="1666" customFormat="false" ht="15.75" hidden="false" customHeight="true" outlineLevel="0" collapsed="false"/>
    <row r="1667" customFormat="false" ht="15.75" hidden="false" customHeight="true" outlineLevel="0" collapsed="false"/>
    <row r="1668" customFormat="false" ht="15.75" hidden="false" customHeight="true" outlineLevel="0" collapsed="false"/>
    <row r="1669" customFormat="false" ht="15.75" hidden="false" customHeight="true" outlineLevel="0" collapsed="false"/>
    <row r="1670" customFormat="false" ht="15.75" hidden="false" customHeight="true" outlineLevel="0" collapsed="false"/>
    <row r="1671" customFormat="false" ht="15.75" hidden="false" customHeight="true" outlineLevel="0" collapsed="false"/>
    <row r="1672" customFormat="false" ht="15.75" hidden="false" customHeight="true" outlineLevel="0" collapsed="false"/>
    <row r="1673" customFormat="false" ht="15.75" hidden="false" customHeight="true" outlineLevel="0" collapsed="false"/>
    <row r="1674" customFormat="false" ht="15.75" hidden="false" customHeight="true" outlineLevel="0" collapsed="false"/>
    <row r="1675" customFormat="false" ht="15.75" hidden="false" customHeight="true" outlineLevel="0" collapsed="false"/>
    <row r="1676" customFormat="false" ht="15.75" hidden="false" customHeight="true" outlineLevel="0" collapsed="false"/>
    <row r="1677" customFormat="false" ht="15.75" hidden="false" customHeight="true" outlineLevel="0" collapsed="false"/>
    <row r="1678" customFormat="false" ht="15.75" hidden="false" customHeight="true" outlineLevel="0" collapsed="false"/>
    <row r="1679" customFormat="false" ht="15.75" hidden="false" customHeight="true" outlineLevel="0" collapsed="false"/>
    <row r="1680" customFormat="false" ht="15.75" hidden="false" customHeight="true" outlineLevel="0" collapsed="false"/>
    <row r="1681" customFormat="false" ht="15.75" hidden="false" customHeight="true" outlineLevel="0" collapsed="false"/>
    <row r="1682" customFormat="false" ht="15.75" hidden="false" customHeight="true" outlineLevel="0" collapsed="false"/>
    <row r="1683" customFormat="false" ht="15.75" hidden="false" customHeight="true" outlineLevel="0" collapsed="false"/>
    <row r="1684" customFormat="false" ht="15.75" hidden="false" customHeight="true" outlineLevel="0" collapsed="false"/>
    <row r="1685" customFormat="false" ht="15.75" hidden="false" customHeight="true" outlineLevel="0" collapsed="false"/>
    <row r="1686" customFormat="false" ht="15.75" hidden="false" customHeight="true" outlineLevel="0" collapsed="false"/>
    <row r="1687" customFormat="false" ht="15.75" hidden="false" customHeight="true" outlineLevel="0" collapsed="false"/>
    <row r="1688" customFormat="false" ht="15.75" hidden="false" customHeight="true" outlineLevel="0" collapsed="false"/>
    <row r="1689" customFormat="false" ht="15.75" hidden="false" customHeight="true" outlineLevel="0" collapsed="false"/>
    <row r="1690" customFormat="false" ht="15.75" hidden="false" customHeight="true" outlineLevel="0" collapsed="false"/>
    <row r="1691" customFormat="false" ht="15.75" hidden="false" customHeight="true" outlineLevel="0" collapsed="false"/>
    <row r="1692" customFormat="false" ht="15.75" hidden="false" customHeight="true" outlineLevel="0" collapsed="false"/>
    <row r="1693" customFormat="false" ht="15.75" hidden="false" customHeight="true" outlineLevel="0" collapsed="false"/>
    <row r="1694" customFormat="false" ht="15.75" hidden="false" customHeight="true" outlineLevel="0" collapsed="false"/>
    <row r="1695" customFormat="false" ht="15.75" hidden="false" customHeight="true" outlineLevel="0" collapsed="false"/>
    <row r="1696" customFormat="false" ht="15.75" hidden="false" customHeight="true" outlineLevel="0" collapsed="false"/>
    <row r="1697" customFormat="false" ht="15.75" hidden="false" customHeight="true" outlineLevel="0" collapsed="false"/>
    <row r="1698" customFormat="false" ht="15.75" hidden="false" customHeight="true" outlineLevel="0" collapsed="false"/>
    <row r="1699" customFormat="false" ht="15.75" hidden="false" customHeight="true" outlineLevel="0" collapsed="false"/>
    <row r="1700" customFormat="false" ht="15.75" hidden="false" customHeight="true" outlineLevel="0" collapsed="false"/>
    <row r="1701" customFormat="false" ht="15.75" hidden="false" customHeight="true" outlineLevel="0" collapsed="false"/>
    <row r="1702" customFormat="false" ht="15.75" hidden="false" customHeight="true" outlineLevel="0" collapsed="false"/>
    <row r="1703" customFormat="false" ht="15.75" hidden="false" customHeight="true" outlineLevel="0" collapsed="false"/>
    <row r="1704" customFormat="false" ht="15.75" hidden="false" customHeight="true" outlineLevel="0" collapsed="false"/>
    <row r="1705" customFormat="false" ht="15.75" hidden="false" customHeight="true" outlineLevel="0" collapsed="false"/>
    <row r="1706" customFormat="false" ht="15.75" hidden="false" customHeight="true" outlineLevel="0" collapsed="false"/>
    <row r="1707" customFormat="false" ht="15.75" hidden="false" customHeight="true" outlineLevel="0" collapsed="false"/>
    <row r="1708" customFormat="false" ht="15.75" hidden="false" customHeight="true" outlineLevel="0" collapsed="false"/>
    <row r="1709" customFormat="false" ht="15.75" hidden="false" customHeight="true" outlineLevel="0" collapsed="false"/>
    <row r="1710" customFormat="false" ht="15.75" hidden="false" customHeight="true" outlineLevel="0" collapsed="false"/>
    <row r="1711" customFormat="false" ht="15.75" hidden="false" customHeight="true" outlineLevel="0" collapsed="false"/>
    <row r="1712" customFormat="false" ht="15.75" hidden="false" customHeight="true" outlineLevel="0" collapsed="false"/>
    <row r="1713" customFormat="false" ht="15.75" hidden="false" customHeight="true" outlineLevel="0" collapsed="false"/>
    <row r="1714" customFormat="false" ht="15.75" hidden="false" customHeight="true" outlineLevel="0" collapsed="false"/>
    <row r="1715" customFormat="false" ht="15.75" hidden="false" customHeight="true" outlineLevel="0" collapsed="false"/>
    <row r="1716" customFormat="false" ht="15.75" hidden="false" customHeight="true" outlineLevel="0" collapsed="false"/>
    <row r="1717" customFormat="false" ht="15.75" hidden="false" customHeight="true" outlineLevel="0" collapsed="false"/>
    <row r="1718" customFormat="false" ht="15.75" hidden="false" customHeight="true" outlineLevel="0" collapsed="false"/>
    <row r="1719" customFormat="false" ht="15.75" hidden="false" customHeight="true" outlineLevel="0" collapsed="false"/>
    <row r="1720" customFormat="false" ht="15.75" hidden="false" customHeight="true" outlineLevel="0" collapsed="false"/>
    <row r="1721" customFormat="false" ht="15.75" hidden="false" customHeight="true" outlineLevel="0" collapsed="false"/>
    <row r="1722" customFormat="false" ht="15.75" hidden="false" customHeight="true" outlineLevel="0" collapsed="false"/>
    <row r="1723" customFormat="false" ht="15.75" hidden="false" customHeight="true" outlineLevel="0" collapsed="false"/>
    <row r="1724" customFormat="false" ht="15.75" hidden="false" customHeight="true" outlineLevel="0" collapsed="false"/>
    <row r="1725" customFormat="false" ht="15.75" hidden="false" customHeight="true" outlineLevel="0" collapsed="false"/>
    <row r="1726" customFormat="false" ht="15.75" hidden="false" customHeight="true" outlineLevel="0" collapsed="false"/>
    <row r="1727" customFormat="false" ht="15.75" hidden="false" customHeight="true" outlineLevel="0" collapsed="false"/>
    <row r="1728" customFormat="false" ht="15.75" hidden="false" customHeight="true" outlineLevel="0" collapsed="false"/>
    <row r="1729" customFormat="false" ht="15.75" hidden="false" customHeight="true" outlineLevel="0" collapsed="false"/>
    <row r="1730" customFormat="false" ht="15.75" hidden="false" customHeight="true" outlineLevel="0" collapsed="false"/>
    <row r="1731" customFormat="false" ht="15.75" hidden="false" customHeight="true" outlineLevel="0" collapsed="false"/>
    <row r="1732" customFormat="false" ht="15.75" hidden="false" customHeight="true" outlineLevel="0" collapsed="false"/>
    <row r="1733" customFormat="false" ht="15.75" hidden="false" customHeight="true" outlineLevel="0" collapsed="false"/>
    <row r="1734" customFormat="false" ht="15.75" hidden="false" customHeight="true" outlineLevel="0" collapsed="false"/>
    <row r="1735" customFormat="false" ht="15.75" hidden="false" customHeight="true" outlineLevel="0" collapsed="false"/>
    <row r="1736" customFormat="false" ht="15.75" hidden="false" customHeight="true" outlineLevel="0" collapsed="false"/>
    <row r="1737" customFormat="false" ht="15.75" hidden="false" customHeight="true" outlineLevel="0" collapsed="false"/>
    <row r="1738" customFormat="false" ht="15.75" hidden="false" customHeight="true" outlineLevel="0" collapsed="false"/>
    <row r="1739" customFormat="false" ht="15.75" hidden="false" customHeight="true" outlineLevel="0" collapsed="false"/>
    <row r="1740" customFormat="false" ht="15.75" hidden="false" customHeight="true" outlineLevel="0" collapsed="false"/>
    <row r="1741" customFormat="false" ht="15.75" hidden="false" customHeight="true" outlineLevel="0" collapsed="false"/>
    <row r="1742" customFormat="false" ht="15.75" hidden="false" customHeight="true" outlineLevel="0" collapsed="false"/>
    <row r="1743" customFormat="false" ht="15.75" hidden="false" customHeight="true" outlineLevel="0" collapsed="false"/>
    <row r="1744" customFormat="false" ht="15.75" hidden="false" customHeight="true" outlineLevel="0" collapsed="false"/>
    <row r="1745" customFormat="false" ht="15.75" hidden="false" customHeight="true" outlineLevel="0" collapsed="false"/>
    <row r="1746" customFormat="false" ht="15.75" hidden="false" customHeight="true" outlineLevel="0" collapsed="false"/>
    <row r="1747" customFormat="false" ht="15.75" hidden="false" customHeight="true" outlineLevel="0" collapsed="false"/>
    <row r="1748" customFormat="false" ht="15.75" hidden="false" customHeight="true" outlineLevel="0" collapsed="false"/>
    <row r="1749" customFormat="false" ht="15.75" hidden="false" customHeight="true" outlineLevel="0" collapsed="false"/>
    <row r="1750" customFormat="false" ht="15.75" hidden="false" customHeight="true" outlineLevel="0" collapsed="false"/>
    <row r="1751" customFormat="false" ht="15.75" hidden="false" customHeight="true" outlineLevel="0" collapsed="false"/>
    <row r="1752" customFormat="false" ht="15.75" hidden="false" customHeight="true" outlineLevel="0" collapsed="false"/>
    <row r="1753" customFormat="false" ht="15.75" hidden="false" customHeight="true" outlineLevel="0" collapsed="false"/>
    <row r="1754" customFormat="false" ht="15.75" hidden="false" customHeight="true" outlineLevel="0" collapsed="false"/>
    <row r="1755" customFormat="false" ht="15.75" hidden="false" customHeight="true" outlineLevel="0" collapsed="false"/>
    <row r="1756" customFormat="false" ht="15.75" hidden="false" customHeight="true" outlineLevel="0" collapsed="false"/>
    <row r="1757" customFormat="false" ht="15.75" hidden="false" customHeight="true" outlineLevel="0" collapsed="false"/>
    <row r="1758" customFormat="false" ht="15.75" hidden="false" customHeight="true" outlineLevel="0" collapsed="false"/>
    <row r="1759" customFormat="false" ht="15.75" hidden="false" customHeight="true" outlineLevel="0" collapsed="false"/>
    <row r="1760" customFormat="false" ht="15.75" hidden="false" customHeight="true" outlineLevel="0" collapsed="false"/>
    <row r="1761" customFormat="false" ht="15.75" hidden="false" customHeight="true" outlineLevel="0" collapsed="false"/>
    <row r="1762" customFormat="false" ht="15.75" hidden="false" customHeight="true" outlineLevel="0" collapsed="false"/>
    <row r="1763" customFormat="false" ht="15.75" hidden="false" customHeight="true" outlineLevel="0" collapsed="false"/>
    <row r="1764" customFormat="false" ht="15.75" hidden="false" customHeight="true" outlineLevel="0" collapsed="false"/>
    <row r="1765" customFormat="false" ht="15.75" hidden="false" customHeight="true" outlineLevel="0" collapsed="false"/>
    <row r="1766" customFormat="false" ht="15.75" hidden="false" customHeight="true" outlineLevel="0" collapsed="false"/>
    <row r="1767" customFormat="false" ht="15.75" hidden="false" customHeight="true" outlineLevel="0" collapsed="false"/>
    <row r="1768" customFormat="false" ht="15.75" hidden="false" customHeight="true" outlineLevel="0" collapsed="false"/>
    <row r="1769" customFormat="false" ht="15.75" hidden="false" customHeight="true" outlineLevel="0" collapsed="false"/>
    <row r="1770" customFormat="false" ht="15.75" hidden="false" customHeight="true" outlineLevel="0" collapsed="false"/>
    <row r="1771" customFormat="false" ht="15.75" hidden="false" customHeight="true" outlineLevel="0" collapsed="false"/>
    <row r="1772" customFormat="false" ht="15.75" hidden="false" customHeight="true" outlineLevel="0" collapsed="false"/>
    <row r="1773" customFormat="false" ht="15.75" hidden="false" customHeight="true" outlineLevel="0" collapsed="false"/>
    <row r="1774" customFormat="false" ht="15.75" hidden="false" customHeight="true" outlineLevel="0" collapsed="false"/>
    <row r="1775" customFormat="false" ht="15.75" hidden="false" customHeight="true" outlineLevel="0" collapsed="false"/>
    <row r="1776" customFormat="false" ht="15.75" hidden="false" customHeight="true" outlineLevel="0" collapsed="false"/>
    <row r="1777" customFormat="false" ht="15.75" hidden="false" customHeight="true" outlineLevel="0" collapsed="false"/>
    <row r="1778" customFormat="false" ht="15.75" hidden="false" customHeight="true" outlineLevel="0" collapsed="false"/>
    <row r="1779" customFormat="false" ht="15.75" hidden="false" customHeight="true" outlineLevel="0" collapsed="false"/>
    <row r="1780" customFormat="false" ht="15.75" hidden="false" customHeight="true" outlineLevel="0" collapsed="false"/>
    <row r="1781" customFormat="false" ht="15.75" hidden="false" customHeight="true" outlineLevel="0" collapsed="false"/>
    <row r="1782" customFormat="false" ht="15.75" hidden="false" customHeight="true" outlineLevel="0" collapsed="false"/>
    <row r="1783" customFormat="false" ht="15.75" hidden="false" customHeight="true" outlineLevel="0" collapsed="false"/>
    <row r="1784" customFormat="false" ht="15.75" hidden="false" customHeight="true" outlineLevel="0" collapsed="false"/>
    <row r="1785" customFormat="false" ht="15.75" hidden="false" customHeight="true" outlineLevel="0" collapsed="false"/>
    <row r="1786" customFormat="false" ht="15.75" hidden="false" customHeight="true" outlineLevel="0" collapsed="false"/>
    <row r="1787" customFormat="false" ht="15.75" hidden="false" customHeight="true" outlineLevel="0" collapsed="false"/>
    <row r="1788" customFormat="false" ht="15.75" hidden="false" customHeight="true" outlineLevel="0" collapsed="false"/>
    <row r="1789" customFormat="false" ht="15.75" hidden="false" customHeight="true" outlineLevel="0" collapsed="false"/>
    <row r="1790" customFormat="false" ht="15.75" hidden="false" customHeight="true" outlineLevel="0" collapsed="false"/>
    <row r="1791" customFormat="false" ht="15.75" hidden="false" customHeight="true" outlineLevel="0" collapsed="false"/>
    <row r="1792" customFormat="false" ht="15.75" hidden="false" customHeight="true" outlineLevel="0" collapsed="false"/>
    <row r="1793" customFormat="false" ht="15.75" hidden="false" customHeight="true" outlineLevel="0" collapsed="false"/>
    <row r="1794" customFormat="false" ht="15.75" hidden="false" customHeight="true" outlineLevel="0" collapsed="false"/>
    <row r="1795" customFormat="false" ht="15.75" hidden="false" customHeight="true" outlineLevel="0" collapsed="false"/>
    <row r="1796" customFormat="false" ht="15.75" hidden="false" customHeight="true" outlineLevel="0" collapsed="false"/>
    <row r="1797" customFormat="false" ht="15.75" hidden="false" customHeight="true" outlineLevel="0" collapsed="false"/>
    <row r="1798" customFormat="false" ht="15.75" hidden="false" customHeight="true" outlineLevel="0" collapsed="false"/>
    <row r="1799" customFormat="false" ht="15.75" hidden="false" customHeight="true" outlineLevel="0" collapsed="false"/>
    <row r="1800" customFormat="false" ht="15.75" hidden="false" customHeight="true" outlineLevel="0" collapsed="false"/>
    <row r="1801" customFormat="false" ht="15.75" hidden="false" customHeight="true" outlineLevel="0" collapsed="false"/>
    <row r="1802" customFormat="false" ht="15.75" hidden="false" customHeight="true" outlineLevel="0" collapsed="false"/>
    <row r="1803" customFormat="false" ht="15.75" hidden="false" customHeight="true" outlineLevel="0" collapsed="false"/>
    <row r="1804" customFormat="false" ht="15.75" hidden="false" customHeight="true" outlineLevel="0" collapsed="false"/>
    <row r="1805" customFormat="false" ht="15.75" hidden="false" customHeight="true" outlineLevel="0" collapsed="false"/>
    <row r="1806" customFormat="false" ht="15.75" hidden="false" customHeight="true" outlineLevel="0" collapsed="false"/>
    <row r="1807" customFormat="false" ht="15.75" hidden="false" customHeight="true" outlineLevel="0" collapsed="false"/>
    <row r="1808" customFormat="false" ht="15.75" hidden="false" customHeight="true" outlineLevel="0" collapsed="false"/>
    <row r="1809" customFormat="false" ht="15.75" hidden="false" customHeight="true" outlineLevel="0" collapsed="false"/>
    <row r="1810" customFormat="false" ht="15.75" hidden="false" customHeight="true" outlineLevel="0" collapsed="false"/>
    <row r="1811" customFormat="false" ht="15.75" hidden="false" customHeight="true" outlineLevel="0" collapsed="false"/>
    <row r="1812" customFormat="false" ht="15.75" hidden="false" customHeight="true" outlineLevel="0" collapsed="false"/>
    <row r="1813" customFormat="false" ht="15.75" hidden="false" customHeight="true" outlineLevel="0" collapsed="false"/>
    <row r="1814" customFormat="false" ht="15.75" hidden="false" customHeight="true" outlineLevel="0" collapsed="false"/>
    <row r="1815" customFormat="false" ht="15.75" hidden="false" customHeight="true" outlineLevel="0" collapsed="false"/>
    <row r="1816" customFormat="false" ht="15.75" hidden="false" customHeight="true" outlineLevel="0" collapsed="false"/>
    <row r="1817" customFormat="false" ht="15.75" hidden="false" customHeight="true" outlineLevel="0" collapsed="false"/>
    <row r="1818" customFormat="false" ht="15.75" hidden="false" customHeight="true" outlineLevel="0" collapsed="false"/>
    <row r="1819" customFormat="false" ht="15.75" hidden="false" customHeight="true" outlineLevel="0" collapsed="false"/>
    <row r="1820" customFormat="false" ht="15.75" hidden="false" customHeight="true" outlineLevel="0" collapsed="false"/>
    <row r="1821" customFormat="false" ht="15.75" hidden="false" customHeight="true" outlineLevel="0" collapsed="false"/>
    <row r="1822" customFormat="false" ht="15.75" hidden="false" customHeight="true" outlineLevel="0" collapsed="false"/>
    <row r="1823" customFormat="false" ht="15.75" hidden="false" customHeight="true" outlineLevel="0" collapsed="false"/>
    <row r="1824" customFormat="false" ht="15.75" hidden="false" customHeight="true" outlineLevel="0" collapsed="false"/>
    <row r="1825" customFormat="false" ht="15.75" hidden="false" customHeight="true" outlineLevel="0" collapsed="false"/>
    <row r="1826" customFormat="false" ht="15.75" hidden="false" customHeight="true" outlineLevel="0" collapsed="false"/>
    <row r="1827" customFormat="false" ht="15.75" hidden="false" customHeight="true" outlineLevel="0" collapsed="false"/>
    <row r="1828" customFormat="false" ht="15.75" hidden="false" customHeight="true" outlineLevel="0" collapsed="false"/>
    <row r="1829" customFormat="false" ht="15.75" hidden="false" customHeight="true" outlineLevel="0" collapsed="false"/>
    <row r="1830" customFormat="false" ht="15.75" hidden="false" customHeight="true" outlineLevel="0" collapsed="false"/>
    <row r="1831" customFormat="false" ht="15.75" hidden="false" customHeight="true" outlineLevel="0" collapsed="false"/>
    <row r="1832" customFormat="false" ht="15.75" hidden="false" customHeight="true" outlineLevel="0" collapsed="false"/>
    <row r="1833" customFormat="false" ht="15.75" hidden="false" customHeight="true" outlineLevel="0" collapsed="false"/>
    <row r="1834" customFormat="false" ht="15.75" hidden="false" customHeight="true" outlineLevel="0" collapsed="false"/>
    <row r="1835" customFormat="false" ht="15.75" hidden="false" customHeight="true" outlineLevel="0" collapsed="false"/>
    <row r="1836" customFormat="false" ht="15.75" hidden="false" customHeight="true" outlineLevel="0" collapsed="false"/>
    <row r="1837" customFormat="false" ht="15.75" hidden="false" customHeight="true" outlineLevel="0" collapsed="false"/>
    <row r="1838" customFormat="false" ht="15.75" hidden="false" customHeight="true" outlineLevel="0" collapsed="false"/>
    <row r="1839" customFormat="false" ht="15.75" hidden="false" customHeight="true" outlineLevel="0" collapsed="false"/>
    <row r="1840" customFormat="false" ht="15.75" hidden="false" customHeight="true" outlineLevel="0" collapsed="false"/>
    <row r="1841" customFormat="false" ht="15.75" hidden="false" customHeight="true" outlineLevel="0" collapsed="false"/>
    <row r="1842" customFormat="false" ht="15.75" hidden="false" customHeight="true" outlineLevel="0" collapsed="false"/>
    <row r="1843" customFormat="false" ht="15.75" hidden="false" customHeight="true" outlineLevel="0" collapsed="false"/>
    <row r="1844" customFormat="false" ht="15.75" hidden="false" customHeight="true" outlineLevel="0" collapsed="false"/>
    <row r="1845" customFormat="false" ht="15.75" hidden="false" customHeight="true" outlineLevel="0" collapsed="false"/>
    <row r="1846" customFormat="false" ht="15.75" hidden="false" customHeight="true" outlineLevel="0" collapsed="false"/>
    <row r="1847" customFormat="false" ht="15.75" hidden="false" customHeight="true" outlineLevel="0" collapsed="false"/>
    <row r="1848" customFormat="false" ht="15.75" hidden="false" customHeight="true" outlineLevel="0" collapsed="false"/>
    <row r="1849" customFormat="false" ht="15.75" hidden="false" customHeight="true" outlineLevel="0" collapsed="false"/>
    <row r="1850" customFormat="false" ht="15.75" hidden="false" customHeight="true" outlineLevel="0" collapsed="false"/>
    <row r="1851" customFormat="false" ht="15.75" hidden="false" customHeight="true" outlineLevel="0" collapsed="false"/>
    <row r="1852" customFormat="false" ht="15.75" hidden="false" customHeight="true" outlineLevel="0" collapsed="false"/>
    <row r="1853" customFormat="false" ht="15.75" hidden="false" customHeight="true" outlineLevel="0" collapsed="false"/>
    <row r="1854" customFormat="false" ht="15.75" hidden="false" customHeight="true" outlineLevel="0" collapsed="false"/>
    <row r="1855" customFormat="false" ht="15.75" hidden="false" customHeight="true" outlineLevel="0" collapsed="false"/>
    <row r="1856" customFormat="false" ht="15.75" hidden="false" customHeight="true" outlineLevel="0" collapsed="false"/>
    <row r="1857" customFormat="false" ht="15.75" hidden="false" customHeight="true" outlineLevel="0" collapsed="false"/>
    <row r="1858" customFormat="false" ht="15.75" hidden="false" customHeight="true" outlineLevel="0" collapsed="false"/>
    <row r="1859" customFormat="false" ht="15.75" hidden="false" customHeight="true" outlineLevel="0" collapsed="false"/>
    <row r="1860" customFormat="false" ht="15.75" hidden="false" customHeight="true" outlineLevel="0" collapsed="false"/>
    <row r="1861" customFormat="false" ht="15.75" hidden="false" customHeight="true" outlineLevel="0" collapsed="false"/>
    <row r="1862" customFormat="false" ht="15.75" hidden="false" customHeight="true" outlineLevel="0" collapsed="false"/>
    <row r="1863" customFormat="false" ht="15.75" hidden="false" customHeight="true" outlineLevel="0" collapsed="false"/>
    <row r="1864" customFormat="false" ht="15.75" hidden="false" customHeight="true" outlineLevel="0" collapsed="false"/>
    <row r="1865" customFormat="false" ht="15.75" hidden="false" customHeight="true" outlineLevel="0" collapsed="false"/>
    <row r="1866" customFormat="false" ht="15.75" hidden="false" customHeight="true" outlineLevel="0" collapsed="false"/>
    <row r="1867" customFormat="false" ht="15.75" hidden="false" customHeight="true" outlineLevel="0" collapsed="false"/>
    <row r="1868" customFormat="false" ht="15.75" hidden="false" customHeight="true" outlineLevel="0" collapsed="false"/>
    <row r="1869" customFormat="false" ht="15.75" hidden="false" customHeight="true" outlineLevel="0" collapsed="false"/>
    <row r="1870" customFormat="false" ht="15.75" hidden="false" customHeight="true" outlineLevel="0" collapsed="false"/>
    <row r="1871" customFormat="false" ht="15.75" hidden="false" customHeight="true" outlineLevel="0" collapsed="false"/>
    <row r="1872" customFormat="false" ht="15.75" hidden="false" customHeight="true" outlineLevel="0" collapsed="false"/>
    <row r="1873" customFormat="false" ht="15.75" hidden="false" customHeight="true" outlineLevel="0" collapsed="false"/>
    <row r="1874" customFormat="false" ht="15.75" hidden="false" customHeight="true" outlineLevel="0" collapsed="false"/>
    <row r="1875" customFormat="false" ht="15.75" hidden="false" customHeight="true" outlineLevel="0" collapsed="false"/>
    <row r="1876" customFormat="false" ht="15.75" hidden="false" customHeight="true" outlineLevel="0" collapsed="false"/>
    <row r="1877" customFormat="false" ht="15.75" hidden="false" customHeight="true" outlineLevel="0" collapsed="false"/>
    <row r="1878" customFormat="false" ht="15.75" hidden="false" customHeight="true" outlineLevel="0" collapsed="false"/>
    <row r="1879" customFormat="false" ht="15.75" hidden="false" customHeight="true" outlineLevel="0" collapsed="false"/>
    <row r="1880" customFormat="false" ht="15.75" hidden="false" customHeight="true" outlineLevel="0" collapsed="false"/>
    <row r="1881" customFormat="false" ht="15.75" hidden="false" customHeight="true" outlineLevel="0" collapsed="false"/>
    <row r="1882" customFormat="false" ht="15.75" hidden="false" customHeight="true" outlineLevel="0" collapsed="false"/>
    <row r="1883" customFormat="false" ht="15.75" hidden="false" customHeight="true" outlineLevel="0" collapsed="false"/>
    <row r="1884" customFormat="false" ht="15.75" hidden="false" customHeight="true" outlineLevel="0" collapsed="false"/>
    <row r="1885" customFormat="false" ht="15.75" hidden="false" customHeight="true" outlineLevel="0" collapsed="false"/>
    <row r="1886" customFormat="false" ht="15.75" hidden="false" customHeight="true" outlineLevel="0" collapsed="false"/>
    <row r="1887" customFormat="false" ht="15.75" hidden="false" customHeight="true" outlineLevel="0" collapsed="false"/>
    <row r="1888" customFormat="false" ht="15.75" hidden="false" customHeight="true" outlineLevel="0" collapsed="false"/>
    <row r="1889" customFormat="false" ht="15.75" hidden="false" customHeight="true" outlineLevel="0" collapsed="false"/>
    <row r="1890" customFormat="false" ht="15.75" hidden="false" customHeight="true" outlineLevel="0" collapsed="false"/>
    <row r="1891" customFormat="false" ht="15.75" hidden="false" customHeight="true" outlineLevel="0" collapsed="false"/>
    <row r="1892" customFormat="false" ht="15.75" hidden="false" customHeight="true" outlineLevel="0" collapsed="false"/>
    <row r="1893" customFormat="false" ht="15.75" hidden="false" customHeight="true" outlineLevel="0" collapsed="false"/>
    <row r="1894" customFormat="false" ht="15.75" hidden="false" customHeight="true" outlineLevel="0" collapsed="false"/>
    <row r="1895" customFormat="false" ht="15.75" hidden="false" customHeight="true" outlineLevel="0" collapsed="false"/>
    <row r="1896" customFormat="false" ht="15.75" hidden="false" customHeight="true" outlineLevel="0" collapsed="false"/>
    <row r="1897" customFormat="false" ht="15.75" hidden="false" customHeight="true" outlineLevel="0" collapsed="false"/>
    <row r="1898" customFormat="false" ht="15.75" hidden="false" customHeight="true" outlineLevel="0" collapsed="false"/>
    <row r="1899" customFormat="false" ht="15.75" hidden="false" customHeight="true" outlineLevel="0" collapsed="false"/>
    <row r="1900" customFormat="false" ht="15.75" hidden="false" customHeight="true" outlineLevel="0" collapsed="false"/>
    <row r="1901" customFormat="false" ht="15.75" hidden="false" customHeight="true" outlineLevel="0" collapsed="false"/>
    <row r="1902" customFormat="false" ht="15.75" hidden="false" customHeight="true" outlineLevel="0" collapsed="false"/>
    <row r="1903" customFormat="false" ht="15.75" hidden="false" customHeight="true" outlineLevel="0" collapsed="false"/>
    <row r="1904" customFormat="false" ht="15.75" hidden="false" customHeight="true" outlineLevel="0" collapsed="false"/>
    <row r="1905" customFormat="false" ht="15.75" hidden="false" customHeight="true" outlineLevel="0" collapsed="false"/>
    <row r="1906" customFormat="false" ht="15.75" hidden="false" customHeight="true" outlineLevel="0" collapsed="false"/>
    <row r="1907" customFormat="false" ht="15.75" hidden="false" customHeight="true" outlineLevel="0" collapsed="false"/>
    <row r="1908" customFormat="false" ht="15.75" hidden="false" customHeight="true" outlineLevel="0" collapsed="false"/>
    <row r="1909" customFormat="false" ht="15.75" hidden="false" customHeight="true" outlineLevel="0" collapsed="false"/>
    <row r="1910" customFormat="false" ht="15.75" hidden="false" customHeight="true" outlineLevel="0" collapsed="false"/>
    <row r="1911" customFormat="false" ht="15.75" hidden="false" customHeight="true" outlineLevel="0" collapsed="false"/>
    <row r="1912" customFormat="false" ht="15.75" hidden="false" customHeight="true" outlineLevel="0" collapsed="false"/>
    <row r="1913" customFormat="false" ht="15.75" hidden="false" customHeight="true" outlineLevel="0" collapsed="false"/>
    <row r="1914" customFormat="false" ht="15.75" hidden="false" customHeight="true" outlineLevel="0" collapsed="false"/>
    <row r="1915" customFormat="false" ht="15.75" hidden="false" customHeight="true" outlineLevel="0" collapsed="false"/>
    <row r="1916" customFormat="false" ht="15.75" hidden="false" customHeight="true" outlineLevel="0" collapsed="false"/>
    <row r="1917" customFormat="false" ht="15.75" hidden="false" customHeight="true" outlineLevel="0" collapsed="false"/>
    <row r="1918" customFormat="false" ht="15.75" hidden="false" customHeight="true" outlineLevel="0" collapsed="false"/>
    <row r="1919" customFormat="false" ht="15.75" hidden="false" customHeight="true" outlineLevel="0" collapsed="false"/>
    <row r="1920" customFormat="false" ht="15.75" hidden="false" customHeight="true" outlineLevel="0" collapsed="false"/>
    <row r="1921" customFormat="false" ht="15.75" hidden="false" customHeight="true" outlineLevel="0" collapsed="false"/>
    <row r="1922" customFormat="false" ht="15.75" hidden="false" customHeight="true" outlineLevel="0" collapsed="false"/>
    <row r="1923" customFormat="false" ht="15.75" hidden="false" customHeight="true" outlineLevel="0" collapsed="false"/>
    <row r="1924" customFormat="false" ht="15.75" hidden="false" customHeight="true" outlineLevel="0" collapsed="false"/>
    <row r="1925" customFormat="false" ht="15.75" hidden="false" customHeight="true" outlineLevel="0" collapsed="false"/>
    <row r="1926" customFormat="false" ht="15.75" hidden="false" customHeight="true" outlineLevel="0" collapsed="false"/>
    <row r="1927" customFormat="false" ht="15.75" hidden="false" customHeight="true" outlineLevel="0" collapsed="false"/>
    <row r="1928" customFormat="false" ht="15.75" hidden="false" customHeight="true" outlineLevel="0" collapsed="false"/>
    <row r="1929" customFormat="false" ht="15.75" hidden="false" customHeight="true" outlineLevel="0" collapsed="false"/>
    <row r="1930" customFormat="false" ht="15.75" hidden="false" customHeight="true" outlineLevel="0" collapsed="false"/>
    <row r="1931" customFormat="false" ht="15.75" hidden="false" customHeight="true" outlineLevel="0" collapsed="false"/>
    <row r="1932" customFormat="false" ht="15.75" hidden="false" customHeight="true" outlineLevel="0" collapsed="false"/>
    <row r="1933" customFormat="false" ht="15.75" hidden="false" customHeight="true" outlineLevel="0" collapsed="false"/>
    <row r="1934" customFormat="false" ht="15.75" hidden="false" customHeight="true" outlineLevel="0" collapsed="false"/>
    <row r="1935" customFormat="false" ht="15.75" hidden="false" customHeight="true" outlineLevel="0" collapsed="false"/>
    <row r="1936" customFormat="false" ht="15.75" hidden="false" customHeight="true" outlineLevel="0" collapsed="false"/>
    <row r="1937" customFormat="false" ht="15.75" hidden="false" customHeight="true" outlineLevel="0" collapsed="false"/>
    <row r="1938" customFormat="false" ht="15.75" hidden="false" customHeight="true" outlineLevel="0" collapsed="false"/>
    <row r="1939" customFormat="false" ht="15.75" hidden="false" customHeight="true" outlineLevel="0" collapsed="false"/>
    <row r="1940" customFormat="false" ht="15.75" hidden="false" customHeight="true" outlineLevel="0" collapsed="false"/>
    <row r="1941" customFormat="false" ht="15.75" hidden="false" customHeight="true" outlineLevel="0" collapsed="false"/>
    <row r="1942" customFormat="false" ht="15.75" hidden="false" customHeight="true" outlineLevel="0" collapsed="false"/>
    <row r="1943" customFormat="false" ht="15.75" hidden="false" customHeight="true" outlineLevel="0" collapsed="false"/>
    <row r="1944" customFormat="false" ht="15.75" hidden="false" customHeight="true" outlineLevel="0" collapsed="false"/>
    <row r="1945" customFormat="false" ht="15.75" hidden="false" customHeight="true" outlineLevel="0" collapsed="false"/>
    <row r="1946" customFormat="false" ht="15.75" hidden="false" customHeight="true" outlineLevel="0" collapsed="false"/>
    <row r="1947" customFormat="false" ht="15.75" hidden="false" customHeight="true" outlineLevel="0" collapsed="false"/>
    <row r="1948" customFormat="false" ht="15.75" hidden="false" customHeight="true" outlineLevel="0" collapsed="false"/>
    <row r="1949" customFormat="false" ht="15.75" hidden="false" customHeight="true" outlineLevel="0" collapsed="false"/>
    <row r="1950" customFormat="false" ht="15.75" hidden="false" customHeight="true" outlineLevel="0" collapsed="false"/>
    <row r="1951" customFormat="false" ht="15.75" hidden="false" customHeight="true" outlineLevel="0" collapsed="false"/>
    <row r="1952" customFormat="false" ht="15.75" hidden="false" customHeight="true" outlineLevel="0" collapsed="false"/>
    <row r="1953" customFormat="false" ht="15.75" hidden="false" customHeight="true" outlineLevel="0" collapsed="false"/>
    <row r="1954" customFormat="false" ht="15.75" hidden="false" customHeight="true" outlineLevel="0" collapsed="false"/>
    <row r="1955" customFormat="false" ht="15.75" hidden="false" customHeight="true" outlineLevel="0" collapsed="false"/>
    <row r="1956" customFormat="false" ht="15.75" hidden="false" customHeight="true" outlineLevel="0" collapsed="false"/>
    <row r="1957" customFormat="false" ht="15.75" hidden="false" customHeight="true" outlineLevel="0" collapsed="false"/>
    <row r="1958" customFormat="false" ht="15.75" hidden="false" customHeight="true" outlineLevel="0" collapsed="false"/>
    <row r="1959" customFormat="false" ht="15.75" hidden="false" customHeight="true" outlineLevel="0" collapsed="false"/>
    <row r="1960" customFormat="false" ht="15.75" hidden="false" customHeight="true" outlineLevel="0" collapsed="false"/>
    <row r="1961" customFormat="false" ht="15.75" hidden="false" customHeight="true" outlineLevel="0" collapsed="false"/>
    <row r="1962" customFormat="false" ht="15.75" hidden="false" customHeight="true" outlineLevel="0" collapsed="false"/>
    <row r="1963" customFormat="false" ht="15.75" hidden="false" customHeight="true" outlineLevel="0" collapsed="false"/>
    <row r="1964" customFormat="false" ht="15.75" hidden="false" customHeight="true" outlineLevel="0" collapsed="false"/>
    <row r="1965" customFormat="false" ht="15.75" hidden="false" customHeight="true" outlineLevel="0" collapsed="false"/>
    <row r="1966" customFormat="false" ht="15.75" hidden="false" customHeight="true" outlineLevel="0" collapsed="false"/>
    <row r="1967" customFormat="false" ht="15.75" hidden="false" customHeight="true" outlineLevel="0" collapsed="false"/>
    <row r="1968" customFormat="false" ht="15.75" hidden="false" customHeight="true" outlineLevel="0" collapsed="false"/>
    <row r="1969" customFormat="false" ht="15.75" hidden="false" customHeight="true" outlineLevel="0" collapsed="false"/>
    <row r="1970" customFormat="false" ht="15.75" hidden="false" customHeight="true" outlineLevel="0" collapsed="false"/>
    <row r="1971" customFormat="false" ht="15.75" hidden="false" customHeight="true" outlineLevel="0" collapsed="false"/>
    <row r="1972" customFormat="false" ht="15.75" hidden="false" customHeight="true" outlineLevel="0" collapsed="false"/>
    <row r="1973" customFormat="false" ht="15.75" hidden="false" customHeight="true" outlineLevel="0" collapsed="false"/>
    <row r="1974" customFormat="false" ht="15.75" hidden="false" customHeight="true" outlineLevel="0" collapsed="false"/>
    <row r="1975" customFormat="false" ht="15.75" hidden="false" customHeight="true" outlineLevel="0" collapsed="false"/>
    <row r="1976" customFormat="false" ht="15.75" hidden="false" customHeight="true" outlineLevel="0" collapsed="false"/>
    <row r="1977" customFormat="false" ht="15.75" hidden="false" customHeight="true" outlineLevel="0" collapsed="false"/>
    <row r="1978" customFormat="false" ht="15.75" hidden="false" customHeight="true" outlineLevel="0" collapsed="false"/>
    <row r="1979" customFormat="false" ht="15.75" hidden="false" customHeight="true" outlineLevel="0" collapsed="false"/>
    <row r="1980" customFormat="false" ht="15.75" hidden="false" customHeight="true" outlineLevel="0" collapsed="false"/>
    <row r="1981" customFormat="false" ht="15.75" hidden="false" customHeight="true" outlineLevel="0" collapsed="false"/>
    <row r="1982" customFormat="false" ht="15.75" hidden="false" customHeight="true" outlineLevel="0" collapsed="false"/>
    <row r="1983" customFormat="false" ht="15.75" hidden="false" customHeight="true" outlineLevel="0" collapsed="false"/>
    <row r="1984" customFormat="false" ht="15.75" hidden="false" customHeight="true" outlineLevel="0" collapsed="false"/>
    <row r="1985" customFormat="false" ht="15.75" hidden="false" customHeight="true" outlineLevel="0" collapsed="false"/>
    <row r="1986" customFormat="false" ht="15.75" hidden="false" customHeight="true" outlineLevel="0" collapsed="false"/>
    <row r="1987" customFormat="false" ht="15.75" hidden="false" customHeight="true" outlineLevel="0" collapsed="false"/>
    <row r="1988" customFormat="false" ht="15.75" hidden="false" customHeight="true" outlineLevel="0" collapsed="false"/>
    <row r="1989" customFormat="false" ht="15.75" hidden="false" customHeight="true" outlineLevel="0" collapsed="false"/>
    <row r="1990" customFormat="false" ht="15.75" hidden="false" customHeight="true" outlineLevel="0" collapsed="false"/>
    <row r="1991" customFormat="false" ht="15.75" hidden="false" customHeight="true" outlineLevel="0" collapsed="false"/>
    <row r="1992" customFormat="false" ht="15.75" hidden="false" customHeight="true" outlineLevel="0" collapsed="false"/>
    <row r="1993" customFormat="false" ht="15.75" hidden="false" customHeight="true" outlineLevel="0" collapsed="false"/>
    <row r="1994" customFormat="false" ht="15.75" hidden="false" customHeight="true" outlineLevel="0" collapsed="false"/>
    <row r="1995" customFormat="false" ht="15.75" hidden="false" customHeight="true" outlineLevel="0" collapsed="false"/>
    <row r="1996" customFormat="false" ht="15.75" hidden="false" customHeight="true" outlineLevel="0" collapsed="false"/>
    <row r="1997" customFormat="false" ht="15.75" hidden="false" customHeight="true" outlineLevel="0" collapsed="false"/>
    <row r="1998" customFormat="false" ht="15.75" hidden="false" customHeight="true" outlineLevel="0" collapsed="false"/>
    <row r="1999" customFormat="false" ht="15.75" hidden="false" customHeight="true" outlineLevel="0" collapsed="false"/>
    <row r="2000" customFormat="false" ht="15.75" hidden="false" customHeight="true" outlineLevel="0" collapsed="false"/>
    <row r="2001" customFormat="false" ht="15.75" hidden="false" customHeight="true" outlineLevel="0" collapsed="false"/>
    <row r="2002" customFormat="false" ht="15.75" hidden="false" customHeight="true" outlineLevel="0" collapsed="false"/>
    <row r="2003" customFormat="false" ht="15.75" hidden="false" customHeight="true" outlineLevel="0" collapsed="false"/>
    <row r="2004" customFormat="false" ht="15.75" hidden="false" customHeight="true" outlineLevel="0" collapsed="false"/>
    <row r="2005" customFormat="false" ht="15.75" hidden="false" customHeight="true" outlineLevel="0" collapsed="false"/>
    <row r="2006" customFormat="false" ht="15.75" hidden="false" customHeight="true" outlineLevel="0" collapsed="false"/>
    <row r="2007" customFormat="false" ht="15.75" hidden="false" customHeight="true" outlineLevel="0" collapsed="false"/>
    <row r="2008" customFormat="false" ht="15.75" hidden="false" customHeight="true" outlineLevel="0" collapsed="false"/>
    <row r="2009" customFormat="false" ht="15.75" hidden="false" customHeight="true" outlineLevel="0" collapsed="false"/>
    <row r="2010" customFormat="false" ht="15.75" hidden="false" customHeight="true" outlineLevel="0" collapsed="false"/>
    <row r="2011" customFormat="false" ht="15.75" hidden="false" customHeight="true" outlineLevel="0" collapsed="false"/>
    <row r="2012" customFormat="false" ht="15.75" hidden="false" customHeight="true" outlineLevel="0" collapsed="false"/>
    <row r="2013" customFormat="false" ht="15.75" hidden="false" customHeight="true" outlineLevel="0" collapsed="false"/>
    <row r="2014" customFormat="false" ht="15.75" hidden="false" customHeight="true" outlineLevel="0" collapsed="false"/>
    <row r="2015" customFormat="false" ht="15.75" hidden="false" customHeight="true" outlineLevel="0" collapsed="false"/>
    <row r="2016" customFormat="false" ht="15.75" hidden="false" customHeight="true" outlineLevel="0" collapsed="false"/>
    <row r="2017" customFormat="false" ht="15.75" hidden="false" customHeight="true" outlineLevel="0" collapsed="false"/>
    <row r="2018" customFormat="false" ht="15.75" hidden="false" customHeight="true" outlineLevel="0" collapsed="false"/>
    <row r="2019" customFormat="false" ht="15.75" hidden="false" customHeight="true" outlineLevel="0" collapsed="false"/>
    <row r="2020" customFormat="false" ht="15.75" hidden="false" customHeight="true" outlineLevel="0" collapsed="false"/>
    <row r="2021" customFormat="false" ht="15.75" hidden="false" customHeight="true" outlineLevel="0" collapsed="false"/>
    <row r="2022" customFormat="false" ht="15.75" hidden="false" customHeight="true" outlineLevel="0" collapsed="false"/>
    <row r="2023" customFormat="false" ht="15.75" hidden="false" customHeight="true" outlineLevel="0" collapsed="false"/>
    <row r="2024" customFormat="false" ht="15.75" hidden="false" customHeight="true" outlineLevel="0" collapsed="false"/>
    <row r="2025" customFormat="false" ht="15.75" hidden="false" customHeight="true" outlineLevel="0" collapsed="false"/>
    <row r="2026" customFormat="false" ht="15.75" hidden="false" customHeight="true" outlineLevel="0" collapsed="false"/>
    <row r="2027" customFormat="false" ht="15.75" hidden="false" customHeight="true" outlineLevel="0" collapsed="false"/>
    <row r="2028" customFormat="false" ht="15.75" hidden="false" customHeight="true" outlineLevel="0" collapsed="false"/>
    <row r="2029" customFormat="false" ht="15.75" hidden="false" customHeight="true" outlineLevel="0" collapsed="false"/>
    <row r="2030" customFormat="false" ht="15.75" hidden="false" customHeight="true" outlineLevel="0" collapsed="false"/>
    <row r="2031" customFormat="false" ht="15.75" hidden="false" customHeight="true" outlineLevel="0" collapsed="false"/>
    <row r="2032" customFormat="false" ht="15.75" hidden="false" customHeight="true" outlineLevel="0" collapsed="false"/>
    <row r="2033" customFormat="false" ht="15.75" hidden="false" customHeight="true" outlineLevel="0" collapsed="false"/>
    <row r="2034" customFormat="false" ht="15.75" hidden="false" customHeight="true" outlineLevel="0" collapsed="false"/>
    <row r="2035" customFormat="false" ht="15.75" hidden="false" customHeight="true" outlineLevel="0" collapsed="false"/>
    <row r="2036" customFormat="false" ht="15.75" hidden="false" customHeight="true" outlineLevel="0" collapsed="false"/>
    <row r="2037" customFormat="false" ht="15.75" hidden="false" customHeight="true" outlineLevel="0" collapsed="false"/>
    <row r="2038" customFormat="false" ht="15.75" hidden="false" customHeight="true" outlineLevel="0" collapsed="false"/>
    <row r="2039" customFormat="false" ht="15.75" hidden="false" customHeight="true" outlineLevel="0" collapsed="false"/>
    <row r="2040" customFormat="false" ht="15.75" hidden="false" customHeight="true" outlineLevel="0" collapsed="false"/>
    <row r="2041" customFormat="false" ht="15.75" hidden="false" customHeight="true" outlineLevel="0" collapsed="false"/>
    <row r="2042" customFormat="false" ht="15.75" hidden="false" customHeight="true" outlineLevel="0" collapsed="false"/>
    <row r="2043" customFormat="false" ht="15.75" hidden="false" customHeight="true" outlineLevel="0" collapsed="false"/>
    <row r="2044" customFormat="false" ht="15.75" hidden="false" customHeight="true" outlineLevel="0" collapsed="false"/>
    <row r="2045" customFormat="false" ht="15.75" hidden="false" customHeight="true" outlineLevel="0" collapsed="false"/>
    <row r="2046" customFormat="false" ht="15.75" hidden="false" customHeight="true" outlineLevel="0" collapsed="false"/>
    <row r="2047" customFormat="false" ht="15.75" hidden="false" customHeight="true" outlineLevel="0" collapsed="false"/>
    <row r="2048" customFormat="false" ht="15.75" hidden="false" customHeight="true" outlineLevel="0" collapsed="false"/>
    <row r="2049" customFormat="false" ht="15.75" hidden="false" customHeight="true" outlineLevel="0" collapsed="false"/>
    <row r="2050" customFormat="false" ht="15.75" hidden="false" customHeight="true" outlineLevel="0" collapsed="false"/>
    <row r="2051" customFormat="false" ht="15.75" hidden="false" customHeight="true" outlineLevel="0" collapsed="false"/>
    <row r="2052" customFormat="false" ht="15.75" hidden="false" customHeight="true" outlineLevel="0" collapsed="false"/>
    <row r="2053" customFormat="false" ht="15.75" hidden="false" customHeight="true" outlineLevel="0" collapsed="false"/>
    <row r="2054" customFormat="false" ht="15.75" hidden="false" customHeight="true" outlineLevel="0" collapsed="false"/>
    <row r="2055" customFormat="false" ht="15.75" hidden="false" customHeight="true" outlineLevel="0" collapsed="false"/>
    <row r="2056" customFormat="false" ht="15.75" hidden="false" customHeight="true" outlineLevel="0" collapsed="false"/>
    <row r="2057" customFormat="false" ht="15.75" hidden="false" customHeight="true" outlineLevel="0" collapsed="false"/>
    <row r="2058" customFormat="false" ht="15.75" hidden="false" customHeight="true" outlineLevel="0" collapsed="false"/>
    <row r="2059" customFormat="false" ht="15.75" hidden="false" customHeight="true" outlineLevel="0" collapsed="false"/>
    <row r="2060" customFormat="false" ht="15.75" hidden="false" customHeight="true" outlineLevel="0" collapsed="false"/>
    <row r="2061" customFormat="false" ht="15.75" hidden="false" customHeight="true" outlineLevel="0" collapsed="false"/>
    <row r="2062" customFormat="false" ht="15.75" hidden="false" customHeight="true" outlineLevel="0" collapsed="false"/>
    <row r="2063" customFormat="false" ht="15.75" hidden="false" customHeight="true" outlineLevel="0" collapsed="false"/>
    <row r="2064" customFormat="false" ht="15.75" hidden="false" customHeight="true" outlineLevel="0" collapsed="false"/>
    <row r="2065" customFormat="false" ht="15.75" hidden="false" customHeight="true" outlineLevel="0" collapsed="false"/>
    <row r="2066" customFormat="false" ht="15.75" hidden="false" customHeight="true" outlineLevel="0" collapsed="false"/>
    <row r="2067" customFormat="false" ht="15.75" hidden="false" customHeight="true" outlineLevel="0" collapsed="false"/>
    <row r="2068" customFormat="false" ht="15.75" hidden="false" customHeight="true" outlineLevel="0" collapsed="false"/>
    <row r="2069" customFormat="false" ht="15.75" hidden="false" customHeight="true" outlineLevel="0" collapsed="false"/>
    <row r="2070" customFormat="false" ht="15.75" hidden="false" customHeight="true" outlineLevel="0" collapsed="false"/>
    <row r="2071" customFormat="false" ht="15.75" hidden="false" customHeight="true" outlineLevel="0" collapsed="false"/>
    <row r="2072" customFormat="false" ht="15.75" hidden="false" customHeight="true" outlineLevel="0" collapsed="false"/>
    <row r="2073" customFormat="false" ht="15.75" hidden="false" customHeight="true" outlineLevel="0" collapsed="false"/>
    <row r="2074" customFormat="false" ht="15.75" hidden="false" customHeight="true" outlineLevel="0" collapsed="false"/>
    <row r="2075" customFormat="false" ht="15.75" hidden="false" customHeight="true" outlineLevel="0" collapsed="false"/>
    <row r="2076" customFormat="false" ht="15.75" hidden="false" customHeight="true" outlineLevel="0" collapsed="false"/>
    <row r="2077" customFormat="false" ht="15.75" hidden="false" customHeight="true" outlineLevel="0" collapsed="false"/>
    <row r="2078" customFormat="false" ht="15.75" hidden="false" customHeight="true" outlineLevel="0" collapsed="false"/>
    <row r="2079" customFormat="false" ht="15.75" hidden="false" customHeight="true" outlineLevel="0" collapsed="false"/>
    <row r="2080" customFormat="false" ht="15.75" hidden="false" customHeight="true" outlineLevel="0" collapsed="false"/>
    <row r="2081" customFormat="false" ht="15.75" hidden="false" customHeight="true" outlineLevel="0" collapsed="false"/>
    <row r="2082" customFormat="false" ht="15.75" hidden="false" customHeight="true" outlineLevel="0" collapsed="false"/>
    <row r="2083" customFormat="false" ht="15.75" hidden="false" customHeight="true" outlineLevel="0" collapsed="false"/>
    <row r="2084" customFormat="false" ht="15.75" hidden="false" customHeight="true" outlineLevel="0" collapsed="false"/>
    <row r="2085" customFormat="false" ht="15.75" hidden="false" customHeight="true" outlineLevel="0" collapsed="false"/>
    <row r="2086" customFormat="false" ht="15.75" hidden="false" customHeight="true" outlineLevel="0" collapsed="false"/>
    <row r="2087" customFormat="false" ht="15.75" hidden="false" customHeight="true" outlineLevel="0" collapsed="false"/>
    <row r="2088" customFormat="false" ht="15.75" hidden="false" customHeight="true" outlineLevel="0" collapsed="false"/>
    <row r="2089" customFormat="false" ht="15.75" hidden="false" customHeight="true" outlineLevel="0" collapsed="false"/>
    <row r="2090" customFormat="false" ht="15.75" hidden="false" customHeight="true" outlineLevel="0" collapsed="false"/>
    <row r="2091" customFormat="false" ht="15.75" hidden="false" customHeight="true" outlineLevel="0" collapsed="false"/>
    <row r="2092" customFormat="false" ht="15.75" hidden="false" customHeight="true" outlineLevel="0" collapsed="false"/>
    <row r="2093" customFormat="false" ht="15.75" hidden="false" customHeight="true" outlineLevel="0" collapsed="false"/>
    <row r="2094" customFormat="false" ht="15.75" hidden="false" customHeight="true" outlineLevel="0" collapsed="false"/>
    <row r="2095" customFormat="false" ht="15.75" hidden="false" customHeight="true" outlineLevel="0" collapsed="false"/>
    <row r="2096" customFormat="false" ht="15.75" hidden="false" customHeight="true" outlineLevel="0" collapsed="false"/>
    <row r="2097" customFormat="false" ht="15.75" hidden="false" customHeight="true" outlineLevel="0" collapsed="false"/>
    <row r="2098" customFormat="false" ht="15.75" hidden="false" customHeight="true" outlineLevel="0" collapsed="false"/>
    <row r="2099" customFormat="false" ht="15.75" hidden="false" customHeight="true" outlineLevel="0" collapsed="false"/>
    <row r="2100" customFormat="false" ht="15.75" hidden="false" customHeight="true" outlineLevel="0" collapsed="false"/>
    <row r="2101" customFormat="false" ht="15.75" hidden="false" customHeight="true" outlineLevel="0" collapsed="false"/>
    <row r="2102" customFormat="false" ht="15.75" hidden="false" customHeight="true" outlineLevel="0" collapsed="false"/>
    <row r="2103" customFormat="false" ht="15.75" hidden="false" customHeight="true" outlineLevel="0" collapsed="false"/>
    <row r="2104" customFormat="false" ht="15.75" hidden="false" customHeight="true" outlineLevel="0" collapsed="false"/>
    <row r="2105" customFormat="false" ht="15.75" hidden="false" customHeight="true" outlineLevel="0" collapsed="false"/>
    <row r="2106" customFormat="false" ht="15.75" hidden="false" customHeight="true" outlineLevel="0" collapsed="false"/>
    <row r="2107" customFormat="false" ht="15.75" hidden="false" customHeight="true" outlineLevel="0" collapsed="false"/>
    <row r="2108" customFormat="false" ht="15.75" hidden="false" customHeight="true" outlineLevel="0" collapsed="false"/>
    <row r="2109" customFormat="false" ht="15.75" hidden="false" customHeight="true" outlineLevel="0" collapsed="false"/>
    <row r="2110" customFormat="false" ht="15.75" hidden="false" customHeight="true" outlineLevel="0" collapsed="false"/>
    <row r="2111" customFormat="false" ht="15.75" hidden="false" customHeight="true" outlineLevel="0" collapsed="false"/>
    <row r="2112" customFormat="false" ht="15.75" hidden="false" customHeight="true" outlineLevel="0" collapsed="false"/>
    <row r="2113" customFormat="false" ht="15.75" hidden="false" customHeight="true" outlineLevel="0" collapsed="false"/>
    <row r="2114" customFormat="false" ht="15.75" hidden="false" customHeight="true" outlineLevel="0" collapsed="false"/>
    <row r="2115" customFormat="false" ht="15.75" hidden="false" customHeight="true" outlineLevel="0" collapsed="false"/>
    <row r="2116" customFormat="false" ht="15.75" hidden="false" customHeight="true" outlineLevel="0" collapsed="false"/>
    <row r="2117" customFormat="false" ht="15.75" hidden="false" customHeight="true" outlineLevel="0" collapsed="false"/>
    <row r="2118" customFormat="false" ht="15.75" hidden="false" customHeight="true" outlineLevel="0" collapsed="false"/>
    <row r="2119" customFormat="false" ht="15.75" hidden="false" customHeight="true" outlineLevel="0" collapsed="false"/>
    <row r="2120" customFormat="false" ht="15.75" hidden="false" customHeight="true" outlineLevel="0" collapsed="false"/>
    <row r="2121" customFormat="false" ht="15.75" hidden="false" customHeight="true" outlineLevel="0" collapsed="false"/>
    <row r="2122" customFormat="false" ht="15.75" hidden="false" customHeight="true" outlineLevel="0" collapsed="false"/>
    <row r="2123" customFormat="false" ht="15.75" hidden="false" customHeight="true" outlineLevel="0" collapsed="false"/>
    <row r="2124" customFormat="false" ht="15.75" hidden="false" customHeight="true" outlineLevel="0" collapsed="false"/>
    <row r="2125" customFormat="false" ht="15.75" hidden="false" customHeight="true" outlineLevel="0" collapsed="false"/>
    <row r="2126" customFormat="false" ht="15.75" hidden="false" customHeight="true" outlineLevel="0" collapsed="false"/>
    <row r="2127" customFormat="false" ht="15.75" hidden="false" customHeight="true" outlineLevel="0" collapsed="false"/>
    <row r="2128" customFormat="false" ht="15.75" hidden="false" customHeight="true" outlineLevel="0" collapsed="false"/>
    <row r="2129" customFormat="false" ht="15.75" hidden="false" customHeight="true" outlineLevel="0" collapsed="false"/>
    <row r="2130" customFormat="false" ht="15.75" hidden="false" customHeight="true" outlineLevel="0" collapsed="false"/>
    <row r="2131" customFormat="false" ht="15.75" hidden="false" customHeight="true" outlineLevel="0" collapsed="false"/>
    <row r="2132" customFormat="false" ht="15.75" hidden="false" customHeight="true" outlineLevel="0" collapsed="false"/>
    <row r="2133" customFormat="false" ht="15.75" hidden="false" customHeight="true" outlineLevel="0" collapsed="false"/>
    <row r="2134" customFormat="false" ht="15.75" hidden="false" customHeight="true" outlineLevel="0" collapsed="false"/>
    <row r="2135" customFormat="false" ht="15.75" hidden="false" customHeight="true" outlineLevel="0" collapsed="false"/>
    <row r="2136" customFormat="false" ht="15.75" hidden="false" customHeight="true" outlineLevel="0" collapsed="false"/>
    <row r="2137" customFormat="false" ht="15.75" hidden="false" customHeight="true" outlineLevel="0" collapsed="false"/>
    <row r="2138" customFormat="false" ht="15.75" hidden="false" customHeight="true" outlineLevel="0" collapsed="false"/>
    <row r="2139" customFormat="false" ht="15.75" hidden="false" customHeight="true" outlineLevel="0" collapsed="false"/>
    <row r="2140" customFormat="false" ht="15.75" hidden="false" customHeight="true" outlineLevel="0" collapsed="false"/>
    <row r="2141" customFormat="false" ht="15.75" hidden="false" customHeight="true" outlineLevel="0" collapsed="false"/>
    <row r="2142" customFormat="false" ht="15.75" hidden="false" customHeight="true" outlineLevel="0" collapsed="false"/>
    <row r="2143" customFormat="false" ht="15.75" hidden="false" customHeight="true" outlineLevel="0" collapsed="false"/>
    <row r="2144" customFormat="false" ht="15.75" hidden="false" customHeight="true" outlineLevel="0" collapsed="false"/>
    <row r="2145" customFormat="false" ht="15.75" hidden="false" customHeight="true" outlineLevel="0" collapsed="false"/>
    <row r="2146" customFormat="false" ht="15.75" hidden="false" customHeight="true" outlineLevel="0" collapsed="false"/>
    <row r="2147" customFormat="false" ht="15.75" hidden="false" customHeight="true" outlineLevel="0" collapsed="false"/>
    <row r="2148" customFormat="false" ht="15.75" hidden="false" customHeight="true" outlineLevel="0" collapsed="false"/>
    <row r="2149" customFormat="false" ht="15.75" hidden="false" customHeight="true" outlineLevel="0" collapsed="false"/>
    <row r="2150" customFormat="false" ht="15.75" hidden="false" customHeight="true" outlineLevel="0" collapsed="false"/>
    <row r="2151" customFormat="false" ht="15.75" hidden="false" customHeight="true" outlineLevel="0" collapsed="false"/>
    <row r="2152" customFormat="false" ht="15.75" hidden="false" customHeight="true" outlineLevel="0" collapsed="false"/>
    <row r="2153" customFormat="false" ht="15.75" hidden="false" customHeight="true" outlineLevel="0" collapsed="false"/>
    <row r="2154" customFormat="false" ht="15.75" hidden="false" customHeight="true" outlineLevel="0" collapsed="false"/>
    <row r="2155" customFormat="false" ht="15.75" hidden="false" customHeight="true" outlineLevel="0" collapsed="false"/>
    <row r="2156" customFormat="false" ht="15.75" hidden="false" customHeight="true" outlineLevel="0" collapsed="false"/>
    <row r="2157" customFormat="false" ht="15.75" hidden="false" customHeight="true" outlineLevel="0" collapsed="false"/>
    <row r="2158" customFormat="false" ht="15.75" hidden="false" customHeight="true" outlineLevel="0" collapsed="false"/>
    <row r="2159" customFormat="false" ht="15.75" hidden="false" customHeight="true" outlineLevel="0" collapsed="false"/>
    <row r="2160" customFormat="false" ht="15.75" hidden="false" customHeight="true" outlineLevel="0" collapsed="false"/>
    <row r="2161" customFormat="false" ht="15.75" hidden="false" customHeight="true" outlineLevel="0" collapsed="false"/>
    <row r="2162" customFormat="false" ht="15.75" hidden="false" customHeight="true" outlineLevel="0" collapsed="false"/>
    <row r="2163" customFormat="false" ht="15.75" hidden="false" customHeight="true" outlineLevel="0" collapsed="false"/>
    <row r="2164" customFormat="false" ht="15.75" hidden="false" customHeight="true" outlineLevel="0" collapsed="false"/>
    <row r="2165" customFormat="false" ht="15.75" hidden="false" customHeight="true" outlineLevel="0" collapsed="false"/>
    <row r="2166" customFormat="false" ht="15.75" hidden="false" customHeight="true" outlineLevel="0" collapsed="false"/>
    <row r="2167" customFormat="false" ht="15.75" hidden="false" customHeight="true" outlineLevel="0" collapsed="false"/>
    <row r="2168" customFormat="false" ht="15.75" hidden="false" customHeight="true" outlineLevel="0" collapsed="false"/>
    <row r="2169" customFormat="false" ht="15.75" hidden="false" customHeight="true" outlineLevel="0" collapsed="false"/>
    <row r="2170" customFormat="false" ht="15.75" hidden="false" customHeight="true" outlineLevel="0" collapsed="false"/>
    <row r="2171" customFormat="false" ht="15.75" hidden="false" customHeight="true" outlineLevel="0" collapsed="false"/>
    <row r="2172" customFormat="false" ht="15.75" hidden="false" customHeight="true" outlineLevel="0" collapsed="false"/>
    <row r="2173" customFormat="false" ht="15.75" hidden="false" customHeight="true" outlineLevel="0" collapsed="false"/>
    <row r="2174" customFormat="false" ht="15.75" hidden="false" customHeight="true" outlineLevel="0" collapsed="false"/>
    <row r="2175" customFormat="false" ht="15.75" hidden="false" customHeight="true" outlineLevel="0" collapsed="false"/>
    <row r="2176" customFormat="false" ht="15.75" hidden="false" customHeight="true" outlineLevel="0" collapsed="false"/>
    <row r="2177" customFormat="false" ht="15.75" hidden="false" customHeight="true" outlineLevel="0" collapsed="false"/>
    <row r="2178" customFormat="false" ht="15.75" hidden="false" customHeight="true" outlineLevel="0" collapsed="false"/>
    <row r="2179" customFormat="false" ht="15.75" hidden="false" customHeight="true" outlineLevel="0" collapsed="false"/>
    <row r="2180" customFormat="false" ht="15.75" hidden="false" customHeight="true" outlineLevel="0" collapsed="false"/>
    <row r="2181" customFormat="false" ht="15.75" hidden="false" customHeight="true" outlineLevel="0" collapsed="false"/>
    <row r="2182" customFormat="false" ht="15.75" hidden="false" customHeight="true" outlineLevel="0" collapsed="false"/>
    <row r="2183" customFormat="false" ht="15.75" hidden="false" customHeight="true" outlineLevel="0" collapsed="false"/>
    <row r="2184" customFormat="false" ht="15.75" hidden="false" customHeight="true" outlineLevel="0" collapsed="false"/>
    <row r="2185" customFormat="false" ht="15.75" hidden="false" customHeight="true" outlineLevel="0" collapsed="false"/>
    <row r="2186" customFormat="false" ht="15.75" hidden="false" customHeight="true" outlineLevel="0" collapsed="false"/>
    <row r="2187" customFormat="false" ht="15.75" hidden="false" customHeight="true" outlineLevel="0" collapsed="false"/>
    <row r="2188" customFormat="false" ht="15.75" hidden="false" customHeight="true" outlineLevel="0" collapsed="false"/>
    <row r="2189" customFormat="false" ht="15.75" hidden="false" customHeight="true" outlineLevel="0" collapsed="false"/>
    <row r="2190" customFormat="false" ht="15.75" hidden="false" customHeight="true" outlineLevel="0" collapsed="false"/>
    <row r="2191" customFormat="false" ht="15.75" hidden="false" customHeight="true" outlineLevel="0" collapsed="false"/>
    <row r="2192" customFormat="false" ht="15.75" hidden="false" customHeight="true" outlineLevel="0" collapsed="false"/>
    <row r="2193" customFormat="false" ht="15.75" hidden="false" customHeight="true" outlineLevel="0" collapsed="false"/>
    <row r="2194" customFormat="false" ht="15.75" hidden="false" customHeight="true" outlineLevel="0" collapsed="false"/>
    <row r="2195" customFormat="false" ht="15.75" hidden="false" customHeight="true" outlineLevel="0" collapsed="false"/>
    <row r="2196" customFormat="false" ht="15.75" hidden="false" customHeight="true" outlineLevel="0" collapsed="false"/>
    <row r="2197" customFormat="false" ht="15.75" hidden="false" customHeight="true" outlineLevel="0" collapsed="false"/>
    <row r="2198" customFormat="false" ht="15.75" hidden="false" customHeight="true" outlineLevel="0" collapsed="false"/>
    <row r="2199" customFormat="false" ht="15.75" hidden="false" customHeight="true" outlineLevel="0" collapsed="false"/>
    <row r="2200" customFormat="false" ht="15.75" hidden="false" customHeight="true" outlineLevel="0" collapsed="false"/>
    <row r="2201" customFormat="false" ht="15.75" hidden="false" customHeight="true" outlineLevel="0" collapsed="false"/>
    <row r="2202" customFormat="false" ht="15.75" hidden="false" customHeight="true" outlineLevel="0" collapsed="false"/>
    <row r="2203" customFormat="false" ht="15.75" hidden="false" customHeight="true" outlineLevel="0" collapsed="false"/>
    <row r="2204" customFormat="false" ht="15.75" hidden="false" customHeight="true" outlineLevel="0" collapsed="false"/>
    <row r="2205" customFormat="false" ht="15.75" hidden="false" customHeight="true" outlineLevel="0" collapsed="false"/>
    <row r="2206" customFormat="false" ht="15.75" hidden="false" customHeight="true" outlineLevel="0" collapsed="false"/>
    <row r="2207" customFormat="false" ht="15.75" hidden="false" customHeight="true" outlineLevel="0" collapsed="false"/>
    <row r="2208" customFormat="false" ht="15.75" hidden="false" customHeight="true" outlineLevel="0" collapsed="false"/>
    <row r="2209" customFormat="false" ht="15.75" hidden="false" customHeight="true" outlineLevel="0" collapsed="false"/>
    <row r="2210" customFormat="false" ht="15.75" hidden="false" customHeight="true" outlineLevel="0" collapsed="false"/>
    <row r="2211" customFormat="false" ht="15.75" hidden="false" customHeight="true" outlineLevel="0" collapsed="false"/>
    <row r="2212" customFormat="false" ht="15.75" hidden="false" customHeight="true" outlineLevel="0" collapsed="false"/>
    <row r="2213" customFormat="false" ht="15.75" hidden="false" customHeight="true" outlineLevel="0" collapsed="false"/>
    <row r="2214" customFormat="false" ht="15.75" hidden="false" customHeight="true" outlineLevel="0" collapsed="false"/>
    <row r="2215" customFormat="false" ht="15.75" hidden="false" customHeight="true" outlineLevel="0" collapsed="false"/>
    <row r="2216" customFormat="false" ht="15.75" hidden="false" customHeight="true" outlineLevel="0" collapsed="false"/>
    <row r="2217" customFormat="false" ht="15.75" hidden="false" customHeight="true" outlineLevel="0" collapsed="false"/>
    <row r="2218" customFormat="false" ht="15.75" hidden="false" customHeight="true" outlineLevel="0" collapsed="false"/>
    <row r="2219" customFormat="false" ht="15.75" hidden="false" customHeight="true" outlineLevel="0" collapsed="false"/>
    <row r="2220" customFormat="false" ht="15.75" hidden="false" customHeight="true" outlineLevel="0" collapsed="false"/>
    <row r="2221" customFormat="false" ht="15.75" hidden="false" customHeight="true" outlineLevel="0" collapsed="false"/>
    <row r="2222" customFormat="false" ht="15.75" hidden="false" customHeight="true" outlineLevel="0" collapsed="false"/>
    <row r="2223" customFormat="false" ht="15.75" hidden="false" customHeight="true" outlineLevel="0" collapsed="false"/>
    <row r="2224" customFormat="false" ht="15.75" hidden="false" customHeight="true" outlineLevel="0" collapsed="false"/>
    <row r="2225" customFormat="false" ht="15.75" hidden="false" customHeight="true" outlineLevel="0" collapsed="false"/>
    <row r="2226" customFormat="false" ht="15.75" hidden="false" customHeight="true" outlineLevel="0" collapsed="false"/>
    <row r="2227" customFormat="false" ht="15.75" hidden="false" customHeight="true" outlineLevel="0" collapsed="false"/>
    <row r="2228" customFormat="false" ht="15.75" hidden="false" customHeight="true" outlineLevel="0" collapsed="false"/>
    <row r="2229" customFormat="false" ht="15.75" hidden="false" customHeight="true" outlineLevel="0" collapsed="false"/>
    <row r="2230" customFormat="false" ht="15.75" hidden="false" customHeight="true" outlineLevel="0" collapsed="false"/>
    <row r="2231" customFormat="false" ht="15.75" hidden="false" customHeight="true" outlineLevel="0" collapsed="false"/>
    <row r="2232" customFormat="false" ht="15.75" hidden="false" customHeight="true" outlineLevel="0" collapsed="false"/>
    <row r="2233" customFormat="false" ht="15.75" hidden="false" customHeight="true" outlineLevel="0" collapsed="false"/>
    <row r="2234" customFormat="false" ht="15.75" hidden="false" customHeight="true" outlineLevel="0" collapsed="false"/>
    <row r="2235" customFormat="false" ht="15.75" hidden="false" customHeight="true" outlineLevel="0" collapsed="false"/>
    <row r="2236" customFormat="false" ht="15.75" hidden="false" customHeight="true" outlineLevel="0" collapsed="false"/>
    <row r="2237" customFormat="false" ht="15.75" hidden="false" customHeight="true" outlineLevel="0" collapsed="false"/>
    <row r="2238" customFormat="false" ht="15.75" hidden="false" customHeight="true" outlineLevel="0" collapsed="false"/>
    <row r="2239" customFormat="false" ht="15.75" hidden="false" customHeight="true" outlineLevel="0" collapsed="false"/>
    <row r="2240" customFormat="false" ht="15.75" hidden="false" customHeight="true" outlineLevel="0" collapsed="false"/>
    <row r="2241" customFormat="false" ht="15.75" hidden="false" customHeight="true" outlineLevel="0" collapsed="false"/>
    <row r="2242" customFormat="false" ht="15.75" hidden="false" customHeight="true" outlineLevel="0" collapsed="false"/>
    <row r="2243" customFormat="false" ht="15.75" hidden="false" customHeight="true" outlineLevel="0" collapsed="false"/>
    <row r="2244" customFormat="false" ht="15.75" hidden="false" customHeight="true" outlineLevel="0" collapsed="false"/>
    <row r="2245" customFormat="false" ht="15.75" hidden="false" customHeight="true" outlineLevel="0" collapsed="false"/>
    <row r="2246" customFormat="false" ht="15.75" hidden="false" customHeight="true" outlineLevel="0" collapsed="false"/>
    <row r="2247" customFormat="false" ht="15.75" hidden="false" customHeight="true" outlineLevel="0" collapsed="false"/>
    <row r="2248" customFormat="false" ht="15.75" hidden="false" customHeight="true" outlineLevel="0" collapsed="false"/>
    <row r="2249" customFormat="false" ht="15.75" hidden="false" customHeight="true" outlineLevel="0" collapsed="false"/>
    <row r="2250" customFormat="false" ht="15.75" hidden="false" customHeight="true" outlineLevel="0" collapsed="false"/>
    <row r="2251" customFormat="false" ht="15.75" hidden="false" customHeight="true" outlineLevel="0" collapsed="false"/>
    <row r="2252" customFormat="false" ht="15.75" hidden="false" customHeight="true" outlineLevel="0" collapsed="false"/>
    <row r="2253" customFormat="false" ht="15.75" hidden="false" customHeight="true" outlineLevel="0" collapsed="false"/>
    <row r="2254" customFormat="false" ht="15.75" hidden="false" customHeight="true" outlineLevel="0" collapsed="false"/>
    <row r="2255" customFormat="false" ht="15.75" hidden="false" customHeight="true" outlineLevel="0" collapsed="false"/>
    <row r="2256" customFormat="false" ht="15.75" hidden="false" customHeight="true" outlineLevel="0" collapsed="false"/>
    <row r="2257" customFormat="false" ht="15.75" hidden="false" customHeight="true" outlineLevel="0" collapsed="false"/>
    <row r="2258" customFormat="false" ht="15.75" hidden="false" customHeight="true" outlineLevel="0" collapsed="false"/>
    <row r="2259" customFormat="false" ht="15.75" hidden="false" customHeight="true" outlineLevel="0" collapsed="false"/>
    <row r="2260" customFormat="false" ht="15.75" hidden="false" customHeight="true" outlineLevel="0" collapsed="false"/>
    <row r="2261" customFormat="false" ht="15.75" hidden="false" customHeight="true" outlineLevel="0" collapsed="false"/>
    <row r="2262" customFormat="false" ht="15.75" hidden="false" customHeight="true" outlineLevel="0" collapsed="false"/>
    <row r="2263" customFormat="false" ht="15.75" hidden="false" customHeight="true" outlineLevel="0" collapsed="false"/>
    <row r="2264" customFormat="false" ht="15.75" hidden="false" customHeight="true" outlineLevel="0" collapsed="false"/>
    <row r="2265" customFormat="false" ht="15.75" hidden="false" customHeight="true" outlineLevel="0" collapsed="false"/>
    <row r="2266" customFormat="false" ht="15.75" hidden="false" customHeight="true" outlineLevel="0" collapsed="false"/>
    <row r="2267" customFormat="false" ht="15.75" hidden="false" customHeight="true" outlineLevel="0" collapsed="false"/>
    <row r="2268" customFormat="false" ht="15.75" hidden="false" customHeight="true" outlineLevel="0" collapsed="false"/>
    <row r="2269" customFormat="false" ht="15.75" hidden="false" customHeight="true" outlineLevel="0" collapsed="false"/>
    <row r="2270" customFormat="false" ht="15.75" hidden="false" customHeight="true" outlineLevel="0" collapsed="false"/>
    <row r="2271" customFormat="false" ht="15.75" hidden="false" customHeight="true" outlineLevel="0" collapsed="false"/>
    <row r="2272" customFormat="false" ht="15.75" hidden="false" customHeight="true" outlineLevel="0" collapsed="false"/>
    <row r="2273" customFormat="false" ht="15.75" hidden="false" customHeight="true" outlineLevel="0" collapsed="false"/>
    <row r="2274" customFormat="false" ht="15.75" hidden="false" customHeight="true" outlineLevel="0" collapsed="false"/>
    <row r="2275" customFormat="false" ht="15.75" hidden="false" customHeight="true" outlineLevel="0" collapsed="false"/>
    <row r="2276" customFormat="false" ht="15.75" hidden="false" customHeight="true" outlineLevel="0" collapsed="false"/>
    <row r="2277" customFormat="false" ht="15.75" hidden="false" customHeight="true" outlineLevel="0" collapsed="false"/>
    <row r="2278" customFormat="false" ht="15.75" hidden="false" customHeight="true" outlineLevel="0" collapsed="false"/>
    <row r="2279" customFormat="false" ht="15.75" hidden="false" customHeight="true" outlineLevel="0" collapsed="false"/>
    <row r="2280" customFormat="false" ht="15.75" hidden="false" customHeight="true" outlineLevel="0" collapsed="false"/>
    <row r="2281" customFormat="false" ht="15.75" hidden="false" customHeight="true" outlineLevel="0" collapsed="false"/>
    <row r="2282" customFormat="false" ht="15.75" hidden="false" customHeight="true" outlineLevel="0" collapsed="false"/>
    <row r="2283" customFormat="false" ht="15.75" hidden="false" customHeight="true" outlineLevel="0" collapsed="false"/>
    <row r="2284" customFormat="false" ht="15.75" hidden="false" customHeight="true" outlineLevel="0" collapsed="false"/>
    <row r="2285" customFormat="false" ht="15.75" hidden="false" customHeight="true" outlineLevel="0" collapsed="false"/>
    <row r="2286" customFormat="false" ht="15.75" hidden="false" customHeight="true" outlineLevel="0" collapsed="false"/>
    <row r="2287" customFormat="false" ht="15.75" hidden="false" customHeight="true" outlineLevel="0" collapsed="false"/>
    <row r="2288" customFormat="false" ht="15.75" hidden="false" customHeight="true" outlineLevel="0" collapsed="false"/>
    <row r="2289" customFormat="false" ht="15.75" hidden="false" customHeight="true" outlineLevel="0" collapsed="false"/>
    <row r="2290" customFormat="false" ht="15.75" hidden="false" customHeight="true" outlineLevel="0" collapsed="false"/>
    <row r="2291" customFormat="false" ht="15.75" hidden="false" customHeight="true" outlineLevel="0" collapsed="false"/>
    <row r="2292" customFormat="false" ht="15.75" hidden="false" customHeight="true" outlineLevel="0" collapsed="false"/>
    <row r="2293" customFormat="false" ht="15.75" hidden="false" customHeight="true" outlineLevel="0" collapsed="false"/>
    <row r="2294" customFormat="false" ht="15.75" hidden="false" customHeight="true" outlineLevel="0" collapsed="false"/>
    <row r="2295" customFormat="false" ht="15.75" hidden="false" customHeight="true" outlineLevel="0" collapsed="false"/>
    <row r="2296" customFormat="false" ht="15.75" hidden="false" customHeight="true" outlineLevel="0" collapsed="false"/>
    <row r="2297" customFormat="false" ht="15.75" hidden="false" customHeight="true" outlineLevel="0" collapsed="false"/>
    <row r="2298" customFormat="false" ht="15.75" hidden="false" customHeight="true" outlineLevel="0" collapsed="false"/>
    <row r="2299" customFormat="false" ht="15.75" hidden="false" customHeight="true" outlineLevel="0" collapsed="false"/>
    <row r="2300" customFormat="false" ht="15.75" hidden="false" customHeight="true" outlineLevel="0" collapsed="false"/>
    <row r="2301" customFormat="false" ht="15.75" hidden="false" customHeight="true" outlineLevel="0" collapsed="false"/>
    <row r="2302" customFormat="false" ht="15.75" hidden="false" customHeight="true" outlineLevel="0" collapsed="false"/>
    <row r="2303" customFormat="false" ht="15.75" hidden="false" customHeight="true" outlineLevel="0" collapsed="false"/>
    <row r="2304" customFormat="false" ht="15.75" hidden="false" customHeight="true" outlineLevel="0" collapsed="false"/>
    <row r="2305" customFormat="false" ht="15.75" hidden="false" customHeight="true" outlineLevel="0" collapsed="false"/>
    <row r="2306" customFormat="false" ht="15.75" hidden="false" customHeight="true" outlineLevel="0" collapsed="false"/>
    <row r="2307" customFormat="false" ht="15.75" hidden="false" customHeight="true" outlineLevel="0" collapsed="false"/>
    <row r="2308" customFormat="false" ht="15.75" hidden="false" customHeight="true" outlineLevel="0" collapsed="false"/>
    <row r="2309" customFormat="false" ht="15.75" hidden="false" customHeight="true" outlineLevel="0" collapsed="false"/>
    <row r="2310" customFormat="false" ht="15.75" hidden="false" customHeight="true" outlineLevel="0" collapsed="false"/>
    <row r="2311" customFormat="false" ht="15.75" hidden="false" customHeight="true" outlineLevel="0" collapsed="false"/>
    <row r="2312" customFormat="false" ht="15.75" hidden="false" customHeight="true" outlineLevel="0" collapsed="false"/>
    <row r="2313" customFormat="false" ht="15.75" hidden="false" customHeight="true" outlineLevel="0" collapsed="false"/>
    <row r="2314" customFormat="false" ht="15.75" hidden="false" customHeight="true" outlineLevel="0" collapsed="false"/>
    <row r="2315" customFormat="false" ht="15.75" hidden="false" customHeight="true" outlineLevel="0" collapsed="false"/>
    <row r="2316" customFormat="false" ht="15.75" hidden="false" customHeight="true" outlineLevel="0" collapsed="false"/>
    <row r="2317" customFormat="false" ht="15.75" hidden="false" customHeight="true" outlineLevel="0" collapsed="false"/>
    <row r="2318" customFormat="false" ht="15.75" hidden="false" customHeight="true" outlineLevel="0" collapsed="false"/>
    <row r="2319" customFormat="false" ht="15.75" hidden="false" customHeight="true" outlineLevel="0" collapsed="false"/>
    <row r="2320" customFormat="false" ht="15.75" hidden="false" customHeight="true" outlineLevel="0" collapsed="false"/>
    <row r="2321" customFormat="false" ht="15.75" hidden="false" customHeight="true" outlineLevel="0" collapsed="false"/>
    <row r="2322" customFormat="false" ht="15.75" hidden="false" customHeight="true" outlineLevel="0" collapsed="false"/>
    <row r="2323" customFormat="false" ht="15.75" hidden="false" customHeight="true" outlineLevel="0" collapsed="false"/>
    <row r="2324" customFormat="false" ht="15.75" hidden="false" customHeight="true" outlineLevel="0" collapsed="false"/>
    <row r="2325" customFormat="false" ht="15.75" hidden="false" customHeight="true" outlineLevel="0" collapsed="false"/>
    <row r="2326" customFormat="false" ht="15.75" hidden="false" customHeight="true" outlineLevel="0" collapsed="false"/>
    <row r="2327" customFormat="false" ht="15.75" hidden="false" customHeight="true" outlineLevel="0" collapsed="false"/>
    <row r="2328" customFormat="false" ht="15.75" hidden="false" customHeight="true" outlineLevel="0" collapsed="false"/>
    <row r="2329" customFormat="false" ht="15.75" hidden="false" customHeight="true" outlineLevel="0" collapsed="false"/>
    <row r="2330" customFormat="false" ht="15.75" hidden="false" customHeight="true" outlineLevel="0" collapsed="false"/>
    <row r="2331" customFormat="false" ht="15.75" hidden="false" customHeight="true" outlineLevel="0" collapsed="false"/>
    <row r="2332" customFormat="false" ht="15.75" hidden="false" customHeight="true" outlineLevel="0" collapsed="false"/>
    <row r="2333" customFormat="false" ht="15.75" hidden="false" customHeight="true" outlineLevel="0" collapsed="false"/>
    <row r="2334" customFormat="false" ht="15.75" hidden="false" customHeight="true" outlineLevel="0" collapsed="false"/>
    <row r="2335" customFormat="false" ht="15.75" hidden="false" customHeight="true" outlineLevel="0" collapsed="false"/>
    <row r="2336" customFormat="false" ht="15.75" hidden="false" customHeight="true" outlineLevel="0" collapsed="false"/>
    <row r="2337" customFormat="false" ht="15.75" hidden="false" customHeight="true" outlineLevel="0" collapsed="false"/>
    <row r="2338" customFormat="false" ht="15.75" hidden="false" customHeight="true" outlineLevel="0" collapsed="false"/>
    <row r="2339" customFormat="false" ht="15.75" hidden="false" customHeight="true" outlineLevel="0" collapsed="false"/>
    <row r="2340" customFormat="false" ht="15.75" hidden="false" customHeight="true" outlineLevel="0" collapsed="false"/>
    <row r="2341" customFormat="false" ht="15.75" hidden="false" customHeight="true" outlineLevel="0" collapsed="false"/>
    <row r="2342" customFormat="false" ht="15.75" hidden="false" customHeight="true" outlineLevel="0" collapsed="false"/>
    <row r="2343" customFormat="false" ht="15.75" hidden="false" customHeight="true" outlineLevel="0" collapsed="false"/>
    <row r="2344" customFormat="false" ht="15.75" hidden="false" customHeight="true" outlineLevel="0" collapsed="false"/>
    <row r="2345" customFormat="false" ht="15.75" hidden="false" customHeight="true" outlineLevel="0" collapsed="false"/>
    <row r="2346" customFormat="false" ht="15.75" hidden="false" customHeight="true" outlineLevel="0" collapsed="false"/>
    <row r="2347" customFormat="false" ht="15.75" hidden="false" customHeight="true" outlineLevel="0" collapsed="false"/>
    <row r="2348" customFormat="false" ht="15.75" hidden="false" customHeight="true" outlineLevel="0" collapsed="false"/>
    <row r="2349" customFormat="false" ht="15.75" hidden="false" customHeight="true" outlineLevel="0" collapsed="false"/>
    <row r="2350" customFormat="false" ht="15.75" hidden="false" customHeight="true" outlineLevel="0" collapsed="false"/>
    <row r="2351" customFormat="false" ht="15.75" hidden="false" customHeight="true" outlineLevel="0" collapsed="false"/>
    <row r="2352" customFormat="false" ht="15.75" hidden="false" customHeight="true" outlineLevel="0" collapsed="false"/>
    <row r="2353" customFormat="false" ht="15.75" hidden="false" customHeight="true" outlineLevel="0" collapsed="false"/>
    <row r="2354" customFormat="false" ht="15.75" hidden="false" customHeight="true" outlineLevel="0" collapsed="false"/>
    <row r="2355" customFormat="false" ht="15.75" hidden="false" customHeight="true" outlineLevel="0" collapsed="false"/>
    <row r="2356" customFormat="false" ht="15.75" hidden="false" customHeight="true" outlineLevel="0" collapsed="false"/>
    <row r="2357" customFormat="false" ht="15.75" hidden="false" customHeight="true" outlineLevel="0" collapsed="false"/>
    <row r="2358" customFormat="false" ht="15.75" hidden="false" customHeight="true" outlineLevel="0" collapsed="false"/>
    <row r="2359" customFormat="false" ht="15.75" hidden="false" customHeight="true" outlineLevel="0" collapsed="false"/>
    <row r="2360" customFormat="false" ht="15.75" hidden="false" customHeight="true" outlineLevel="0" collapsed="false"/>
    <row r="2361" customFormat="false" ht="15.75" hidden="false" customHeight="true" outlineLevel="0" collapsed="false"/>
    <row r="2362" customFormat="false" ht="15.75" hidden="false" customHeight="true" outlineLevel="0" collapsed="false"/>
    <row r="2363" customFormat="false" ht="15.75" hidden="false" customHeight="true" outlineLevel="0" collapsed="false"/>
    <row r="2364" customFormat="false" ht="15.75" hidden="false" customHeight="true" outlineLevel="0" collapsed="false"/>
    <row r="2365" customFormat="false" ht="15.75" hidden="false" customHeight="true" outlineLevel="0" collapsed="false"/>
    <row r="2366" customFormat="false" ht="15.75" hidden="false" customHeight="true" outlineLevel="0" collapsed="false"/>
    <row r="2367" customFormat="false" ht="15.75" hidden="false" customHeight="true" outlineLevel="0" collapsed="false"/>
    <row r="2368" customFormat="false" ht="15.75" hidden="false" customHeight="true" outlineLevel="0" collapsed="false"/>
    <row r="2369" customFormat="false" ht="15.75" hidden="false" customHeight="true" outlineLevel="0" collapsed="false"/>
    <row r="2370" customFormat="false" ht="15.75" hidden="false" customHeight="true" outlineLevel="0" collapsed="false"/>
    <row r="2371" customFormat="false" ht="15.75" hidden="false" customHeight="true" outlineLevel="0" collapsed="false"/>
    <row r="2372" customFormat="false" ht="15.75" hidden="false" customHeight="true" outlineLevel="0" collapsed="false"/>
    <row r="2373" customFormat="false" ht="15.75" hidden="false" customHeight="true" outlineLevel="0" collapsed="false"/>
    <row r="2374" customFormat="false" ht="15.75" hidden="false" customHeight="true" outlineLevel="0" collapsed="false"/>
    <row r="2375" customFormat="false" ht="15.75" hidden="false" customHeight="true" outlineLevel="0" collapsed="false"/>
    <row r="2376" customFormat="false" ht="15.75" hidden="false" customHeight="true" outlineLevel="0" collapsed="false"/>
    <row r="2377" customFormat="false" ht="15.75" hidden="false" customHeight="true" outlineLevel="0" collapsed="false"/>
    <row r="2378" customFormat="false" ht="15.75" hidden="false" customHeight="true" outlineLevel="0" collapsed="false"/>
    <row r="2379" customFormat="false" ht="15.75" hidden="false" customHeight="true" outlineLevel="0" collapsed="false"/>
    <row r="2380" customFormat="false" ht="15.75" hidden="false" customHeight="true" outlineLevel="0" collapsed="false"/>
    <row r="2381" customFormat="false" ht="15.75" hidden="false" customHeight="true" outlineLevel="0" collapsed="false"/>
    <row r="2382" customFormat="false" ht="15.75" hidden="false" customHeight="true" outlineLevel="0" collapsed="false"/>
    <row r="2383" customFormat="false" ht="15.75" hidden="false" customHeight="true" outlineLevel="0" collapsed="false"/>
    <row r="2384" customFormat="false" ht="15.75" hidden="false" customHeight="true" outlineLevel="0" collapsed="false"/>
    <row r="2385" customFormat="false" ht="15.75" hidden="false" customHeight="true" outlineLevel="0" collapsed="false"/>
    <row r="2386" customFormat="false" ht="15.75" hidden="false" customHeight="true" outlineLevel="0" collapsed="false"/>
    <row r="2387" customFormat="false" ht="15.75" hidden="false" customHeight="true" outlineLevel="0" collapsed="false"/>
    <row r="2388" customFormat="false" ht="15.75" hidden="false" customHeight="true" outlineLevel="0" collapsed="false"/>
    <row r="2389" customFormat="false" ht="15.75" hidden="false" customHeight="true" outlineLevel="0" collapsed="false"/>
    <row r="2390" customFormat="false" ht="15.75" hidden="false" customHeight="true" outlineLevel="0" collapsed="false"/>
    <row r="2391" customFormat="false" ht="15.75" hidden="false" customHeight="true" outlineLevel="0" collapsed="false"/>
    <row r="2392" customFormat="false" ht="15.75" hidden="false" customHeight="true" outlineLevel="0" collapsed="false"/>
    <row r="2393" customFormat="false" ht="15.75" hidden="false" customHeight="true" outlineLevel="0" collapsed="false"/>
    <row r="2394" customFormat="false" ht="15.75" hidden="false" customHeight="true" outlineLevel="0" collapsed="false"/>
    <row r="2395" customFormat="false" ht="15.75" hidden="false" customHeight="true" outlineLevel="0" collapsed="false"/>
    <row r="2396" customFormat="false" ht="15.75" hidden="false" customHeight="true" outlineLevel="0" collapsed="false"/>
    <row r="2397" customFormat="false" ht="15.75" hidden="false" customHeight="true" outlineLevel="0" collapsed="false"/>
    <row r="2398" customFormat="false" ht="15.75" hidden="false" customHeight="true" outlineLevel="0" collapsed="false"/>
    <row r="2399" customFormat="false" ht="15.75" hidden="false" customHeight="true" outlineLevel="0" collapsed="false"/>
    <row r="2400" customFormat="false" ht="15.75" hidden="false" customHeight="true" outlineLevel="0" collapsed="false"/>
    <row r="2401" customFormat="false" ht="15.75" hidden="false" customHeight="true" outlineLevel="0" collapsed="false"/>
    <row r="2402" customFormat="false" ht="15.75" hidden="false" customHeight="true" outlineLevel="0" collapsed="false"/>
    <row r="2403" customFormat="false" ht="15.75" hidden="false" customHeight="true" outlineLevel="0" collapsed="false"/>
    <row r="2404" customFormat="false" ht="15.75" hidden="false" customHeight="true" outlineLevel="0" collapsed="false"/>
    <row r="2405" customFormat="false" ht="15.75" hidden="false" customHeight="true" outlineLevel="0" collapsed="false"/>
    <row r="2406" customFormat="false" ht="15.75" hidden="false" customHeight="true" outlineLevel="0" collapsed="false"/>
    <row r="2407" customFormat="false" ht="15.75" hidden="false" customHeight="true" outlineLevel="0" collapsed="false"/>
    <row r="2408" customFormat="false" ht="15.75" hidden="false" customHeight="true" outlineLevel="0" collapsed="false"/>
    <row r="2409" customFormat="false" ht="15.75" hidden="false" customHeight="true" outlineLevel="0" collapsed="false"/>
    <row r="2410" customFormat="false" ht="15.75" hidden="false" customHeight="true" outlineLevel="0" collapsed="false"/>
    <row r="2411" customFormat="false" ht="15.75" hidden="false" customHeight="true" outlineLevel="0" collapsed="false"/>
    <row r="2412" customFormat="false" ht="15.75" hidden="false" customHeight="true" outlineLevel="0" collapsed="false"/>
    <row r="2413" customFormat="false" ht="15.75" hidden="false" customHeight="true" outlineLevel="0" collapsed="false"/>
    <row r="2414" customFormat="false" ht="15.75" hidden="false" customHeight="true" outlineLevel="0" collapsed="false"/>
    <row r="2415" customFormat="false" ht="15.75" hidden="false" customHeight="true" outlineLevel="0" collapsed="false"/>
    <row r="2416" customFormat="false" ht="15.75" hidden="false" customHeight="true" outlineLevel="0" collapsed="false"/>
    <row r="2417" customFormat="false" ht="15.75" hidden="false" customHeight="true" outlineLevel="0" collapsed="false"/>
    <row r="2418" customFormat="false" ht="15.75" hidden="false" customHeight="true" outlineLevel="0" collapsed="false"/>
    <row r="2419" customFormat="false" ht="15.75" hidden="false" customHeight="true" outlineLevel="0" collapsed="false"/>
    <row r="2420" customFormat="false" ht="15.75" hidden="false" customHeight="true" outlineLevel="0" collapsed="false"/>
    <row r="2421" customFormat="false" ht="15.75" hidden="false" customHeight="true" outlineLevel="0" collapsed="false"/>
    <row r="2422" customFormat="false" ht="15.75" hidden="false" customHeight="true" outlineLevel="0" collapsed="false"/>
    <row r="2423" customFormat="false" ht="15.75" hidden="false" customHeight="true" outlineLevel="0" collapsed="false"/>
    <row r="2424" customFormat="false" ht="15.75" hidden="false" customHeight="true" outlineLevel="0" collapsed="false"/>
    <row r="2425" customFormat="false" ht="15.75" hidden="false" customHeight="true" outlineLevel="0" collapsed="false"/>
    <row r="2426" customFormat="false" ht="15.75" hidden="false" customHeight="true" outlineLevel="0" collapsed="false"/>
    <row r="2427" customFormat="false" ht="15.75" hidden="false" customHeight="true" outlineLevel="0" collapsed="false"/>
    <row r="2428" customFormat="false" ht="15.75" hidden="false" customHeight="true" outlineLevel="0" collapsed="false"/>
    <row r="2429" customFormat="false" ht="15.75" hidden="false" customHeight="true" outlineLevel="0" collapsed="false"/>
    <row r="2430" customFormat="false" ht="15.75" hidden="false" customHeight="true" outlineLevel="0" collapsed="false"/>
    <row r="2431" customFormat="false" ht="15.75" hidden="false" customHeight="true" outlineLevel="0" collapsed="false"/>
    <row r="2432" customFormat="false" ht="15.75" hidden="false" customHeight="true" outlineLevel="0" collapsed="false"/>
    <row r="2433" customFormat="false" ht="15.75" hidden="false" customHeight="true" outlineLevel="0" collapsed="false"/>
    <row r="2434" customFormat="false" ht="15.75" hidden="false" customHeight="true" outlineLevel="0" collapsed="false"/>
    <row r="2435" customFormat="false" ht="15.75" hidden="false" customHeight="true" outlineLevel="0" collapsed="false"/>
    <row r="2436" customFormat="false" ht="15.75" hidden="false" customHeight="true" outlineLevel="0" collapsed="false"/>
    <row r="2437" customFormat="false" ht="15.75" hidden="false" customHeight="true" outlineLevel="0" collapsed="false"/>
    <row r="2438" customFormat="false" ht="15.75" hidden="false" customHeight="true" outlineLevel="0" collapsed="false"/>
    <row r="2439" customFormat="false" ht="15.75" hidden="false" customHeight="true" outlineLevel="0" collapsed="false"/>
    <row r="2440" customFormat="false" ht="15.75" hidden="false" customHeight="true" outlineLevel="0" collapsed="false"/>
    <row r="2441" customFormat="false" ht="15.75" hidden="false" customHeight="true" outlineLevel="0" collapsed="false"/>
    <row r="2442" customFormat="false" ht="15.75" hidden="false" customHeight="true" outlineLevel="0" collapsed="false"/>
    <row r="2443" customFormat="false" ht="15.75" hidden="false" customHeight="true" outlineLevel="0" collapsed="false"/>
    <row r="2444" customFormat="false" ht="15.75" hidden="false" customHeight="true" outlineLevel="0" collapsed="false"/>
    <row r="2445" customFormat="false" ht="15.75" hidden="false" customHeight="true" outlineLevel="0" collapsed="false"/>
    <row r="2446" customFormat="false" ht="15.75" hidden="false" customHeight="true" outlineLevel="0" collapsed="false"/>
    <row r="2447" customFormat="false" ht="15.75" hidden="false" customHeight="true" outlineLevel="0" collapsed="false"/>
    <row r="2448" customFormat="false" ht="15.75" hidden="false" customHeight="true" outlineLevel="0" collapsed="false"/>
    <row r="2449" customFormat="false" ht="15.75" hidden="false" customHeight="true" outlineLevel="0" collapsed="false"/>
    <row r="2450" customFormat="false" ht="15.75" hidden="false" customHeight="true" outlineLevel="0" collapsed="false"/>
    <row r="2451" customFormat="false" ht="15.75" hidden="false" customHeight="true" outlineLevel="0" collapsed="false"/>
    <row r="2452" customFormat="false" ht="15.75" hidden="false" customHeight="true" outlineLevel="0" collapsed="false"/>
    <row r="2453" customFormat="false" ht="15.75" hidden="false" customHeight="true" outlineLevel="0" collapsed="false"/>
    <row r="2454" customFormat="false" ht="15.75" hidden="false" customHeight="true" outlineLevel="0" collapsed="false"/>
    <row r="2455" customFormat="false" ht="15.75" hidden="false" customHeight="true" outlineLevel="0" collapsed="false"/>
    <row r="2456" customFormat="false" ht="15.75" hidden="false" customHeight="true" outlineLevel="0" collapsed="false"/>
    <row r="2457" customFormat="false" ht="15.75" hidden="false" customHeight="true" outlineLevel="0" collapsed="false"/>
    <row r="2458" customFormat="false" ht="15.75" hidden="false" customHeight="true" outlineLevel="0" collapsed="false"/>
    <row r="2459" customFormat="false" ht="15.75" hidden="false" customHeight="true" outlineLevel="0" collapsed="false"/>
    <row r="2460" customFormat="false" ht="15.75" hidden="false" customHeight="true" outlineLevel="0" collapsed="false"/>
    <row r="2461" customFormat="false" ht="15.75" hidden="false" customHeight="true" outlineLevel="0" collapsed="false"/>
    <row r="2462" customFormat="false" ht="15.75" hidden="false" customHeight="true" outlineLevel="0" collapsed="false"/>
    <row r="2463" customFormat="false" ht="15.75" hidden="false" customHeight="true" outlineLevel="0" collapsed="false"/>
    <row r="2464" customFormat="false" ht="15.75" hidden="false" customHeight="true" outlineLevel="0" collapsed="false"/>
    <row r="2465" customFormat="false" ht="15.75" hidden="false" customHeight="true" outlineLevel="0" collapsed="false"/>
    <row r="2466" customFormat="false" ht="15.75" hidden="false" customHeight="true" outlineLevel="0" collapsed="false"/>
    <row r="2467" customFormat="false" ht="15.75" hidden="false" customHeight="true" outlineLevel="0" collapsed="false"/>
    <row r="2468" customFormat="false" ht="15.75" hidden="false" customHeight="true" outlineLevel="0" collapsed="false"/>
    <row r="2469" customFormat="false" ht="15.75" hidden="false" customHeight="true" outlineLevel="0" collapsed="false"/>
    <row r="2470" customFormat="false" ht="15.75" hidden="false" customHeight="true" outlineLevel="0" collapsed="false"/>
    <row r="2471" customFormat="false" ht="15.75" hidden="false" customHeight="true" outlineLevel="0" collapsed="false"/>
    <row r="2472" customFormat="false" ht="15.75" hidden="false" customHeight="true" outlineLevel="0" collapsed="false"/>
    <row r="2473" customFormat="false" ht="15.75" hidden="false" customHeight="true" outlineLevel="0" collapsed="false"/>
    <row r="2474" customFormat="false" ht="15.75" hidden="false" customHeight="true" outlineLevel="0" collapsed="false"/>
    <row r="2475" customFormat="false" ht="15.75" hidden="false" customHeight="true" outlineLevel="0" collapsed="false"/>
    <row r="2476" customFormat="false" ht="15.75" hidden="false" customHeight="true" outlineLevel="0" collapsed="false"/>
    <row r="2477" customFormat="false" ht="15.75" hidden="false" customHeight="true" outlineLevel="0" collapsed="false"/>
    <row r="2478" customFormat="false" ht="15.75" hidden="false" customHeight="true" outlineLevel="0" collapsed="false"/>
    <row r="2479" customFormat="false" ht="15.75" hidden="false" customHeight="true" outlineLevel="0" collapsed="false"/>
    <row r="2480" customFormat="false" ht="15.75" hidden="false" customHeight="true" outlineLevel="0" collapsed="false"/>
    <row r="2481" customFormat="false" ht="15.75" hidden="false" customHeight="true" outlineLevel="0" collapsed="false"/>
    <row r="2482" customFormat="false" ht="15.75" hidden="false" customHeight="true" outlineLevel="0" collapsed="false"/>
    <row r="2483" customFormat="false" ht="15.75" hidden="false" customHeight="true" outlineLevel="0" collapsed="false"/>
    <row r="2484" customFormat="false" ht="15.75" hidden="false" customHeight="true" outlineLevel="0" collapsed="false"/>
    <row r="2485" customFormat="false" ht="15.75" hidden="false" customHeight="true" outlineLevel="0" collapsed="false"/>
    <row r="2486" customFormat="false" ht="15.75" hidden="false" customHeight="true" outlineLevel="0" collapsed="false"/>
    <row r="2487" customFormat="false" ht="15.75" hidden="false" customHeight="true" outlineLevel="0" collapsed="false"/>
    <row r="2488" customFormat="false" ht="15.75" hidden="false" customHeight="true" outlineLevel="0" collapsed="false"/>
    <row r="2489" customFormat="false" ht="15.75" hidden="false" customHeight="true" outlineLevel="0" collapsed="false"/>
    <row r="2490" customFormat="false" ht="15.75" hidden="false" customHeight="true" outlineLevel="0" collapsed="false"/>
    <row r="2491" customFormat="false" ht="15.75" hidden="false" customHeight="true" outlineLevel="0" collapsed="false"/>
    <row r="2492" customFormat="false" ht="15.75" hidden="false" customHeight="true" outlineLevel="0" collapsed="false"/>
    <row r="2493" customFormat="false" ht="15.75" hidden="false" customHeight="true" outlineLevel="0" collapsed="false"/>
    <row r="2494" customFormat="false" ht="15.75" hidden="false" customHeight="true" outlineLevel="0" collapsed="false"/>
    <row r="2495" customFormat="false" ht="15.75" hidden="false" customHeight="true" outlineLevel="0" collapsed="false"/>
    <row r="2496" customFormat="false" ht="15.75" hidden="false" customHeight="true" outlineLevel="0" collapsed="false"/>
    <row r="2497" customFormat="false" ht="15.75" hidden="false" customHeight="true" outlineLevel="0" collapsed="false"/>
    <row r="2498" customFormat="false" ht="15.75" hidden="false" customHeight="true" outlineLevel="0" collapsed="false"/>
    <row r="2499" customFormat="false" ht="15.75" hidden="false" customHeight="true" outlineLevel="0" collapsed="false"/>
    <row r="2500" customFormat="false" ht="15.75" hidden="false" customHeight="true" outlineLevel="0" collapsed="false"/>
    <row r="2501" customFormat="false" ht="15.75" hidden="false" customHeight="true" outlineLevel="0" collapsed="false"/>
    <row r="2502" customFormat="false" ht="15.75" hidden="false" customHeight="true" outlineLevel="0" collapsed="false"/>
    <row r="2503" customFormat="false" ht="15.75" hidden="false" customHeight="true" outlineLevel="0" collapsed="false"/>
    <row r="2504" customFormat="false" ht="15.75" hidden="false" customHeight="true" outlineLevel="0" collapsed="false"/>
    <row r="2505" customFormat="false" ht="15.75" hidden="false" customHeight="true" outlineLevel="0" collapsed="false"/>
    <row r="2506" customFormat="false" ht="15.75" hidden="false" customHeight="true" outlineLevel="0" collapsed="false"/>
    <row r="2507" customFormat="false" ht="15.75" hidden="false" customHeight="true" outlineLevel="0" collapsed="false"/>
    <row r="2508" customFormat="false" ht="15.75" hidden="false" customHeight="true" outlineLevel="0" collapsed="false"/>
    <row r="2509" customFormat="false" ht="15.75" hidden="false" customHeight="true" outlineLevel="0" collapsed="false"/>
    <row r="2510" customFormat="false" ht="15.75" hidden="false" customHeight="true" outlineLevel="0" collapsed="false"/>
    <row r="2511" customFormat="false" ht="15.75" hidden="false" customHeight="true" outlineLevel="0" collapsed="false"/>
    <row r="2512" customFormat="false" ht="15.75" hidden="false" customHeight="true" outlineLevel="0" collapsed="false"/>
    <row r="2513" customFormat="false" ht="15.75" hidden="false" customHeight="true" outlineLevel="0" collapsed="false"/>
    <row r="2514" customFormat="false" ht="15.75" hidden="false" customHeight="true" outlineLevel="0" collapsed="false"/>
    <row r="2515" customFormat="false" ht="15.75" hidden="false" customHeight="true" outlineLevel="0" collapsed="false"/>
    <row r="2516" customFormat="false" ht="15.75" hidden="false" customHeight="true" outlineLevel="0" collapsed="false"/>
    <row r="2517" customFormat="false" ht="15.75" hidden="false" customHeight="true" outlineLevel="0" collapsed="false"/>
    <row r="2518" customFormat="false" ht="15.75" hidden="false" customHeight="true" outlineLevel="0" collapsed="false"/>
    <row r="2519" customFormat="false" ht="15.75" hidden="false" customHeight="true" outlineLevel="0" collapsed="false"/>
    <row r="2520" customFormat="false" ht="15.75" hidden="false" customHeight="true" outlineLevel="0" collapsed="false"/>
    <row r="2521" customFormat="false" ht="15.75" hidden="false" customHeight="true" outlineLevel="0" collapsed="false"/>
    <row r="2522" customFormat="false" ht="15.75" hidden="false" customHeight="true" outlineLevel="0" collapsed="false"/>
    <row r="2523" customFormat="false" ht="15.75" hidden="false" customHeight="true" outlineLevel="0" collapsed="false"/>
    <row r="2524" customFormat="false" ht="15.75" hidden="false" customHeight="true" outlineLevel="0" collapsed="false"/>
    <row r="2525" customFormat="false" ht="15.75" hidden="false" customHeight="true" outlineLevel="0" collapsed="false"/>
    <row r="2526" customFormat="false" ht="15.75" hidden="false" customHeight="true" outlineLevel="0" collapsed="false"/>
    <row r="2527" customFormat="false" ht="15.75" hidden="false" customHeight="true" outlineLevel="0" collapsed="false"/>
    <row r="2528" customFormat="false" ht="15.75" hidden="false" customHeight="true" outlineLevel="0" collapsed="false"/>
    <row r="2529" customFormat="false" ht="15.75" hidden="false" customHeight="true" outlineLevel="0" collapsed="false"/>
    <row r="2530" customFormat="false" ht="15.75" hidden="false" customHeight="true" outlineLevel="0" collapsed="false"/>
    <row r="2531" customFormat="false" ht="15.75" hidden="false" customHeight="true" outlineLevel="0" collapsed="false"/>
    <row r="2532" customFormat="false" ht="15.75" hidden="false" customHeight="true" outlineLevel="0" collapsed="false"/>
    <row r="2533" customFormat="false" ht="15.75" hidden="false" customHeight="true" outlineLevel="0" collapsed="false"/>
    <row r="2534" customFormat="false" ht="15.75" hidden="false" customHeight="true" outlineLevel="0" collapsed="false"/>
    <row r="2535" customFormat="false" ht="15.75" hidden="false" customHeight="true" outlineLevel="0" collapsed="false"/>
    <row r="2536" customFormat="false" ht="15.75" hidden="false" customHeight="true" outlineLevel="0" collapsed="false"/>
    <row r="2537" customFormat="false" ht="15.75" hidden="false" customHeight="true" outlineLevel="0" collapsed="false"/>
    <row r="2538" customFormat="false" ht="15.75" hidden="false" customHeight="true" outlineLevel="0" collapsed="false"/>
    <row r="2539" customFormat="false" ht="15.75" hidden="false" customHeight="true" outlineLevel="0" collapsed="false"/>
    <row r="2540" customFormat="false" ht="15.75" hidden="false" customHeight="true" outlineLevel="0" collapsed="false"/>
    <row r="2541" customFormat="false" ht="15.75" hidden="false" customHeight="true" outlineLevel="0" collapsed="false"/>
    <row r="2542" customFormat="false" ht="15.75" hidden="false" customHeight="true" outlineLevel="0" collapsed="false"/>
    <row r="2543" customFormat="false" ht="15.75" hidden="false" customHeight="true" outlineLevel="0" collapsed="false"/>
    <row r="2544" customFormat="false" ht="15.75" hidden="false" customHeight="true" outlineLevel="0" collapsed="false"/>
    <row r="2545" customFormat="false" ht="15.75" hidden="false" customHeight="true" outlineLevel="0" collapsed="false"/>
    <row r="2546" customFormat="false" ht="15.75" hidden="false" customHeight="true" outlineLevel="0" collapsed="false"/>
    <row r="2547" customFormat="false" ht="15.75" hidden="false" customHeight="true" outlineLevel="0" collapsed="false"/>
    <row r="2548" customFormat="false" ht="15.75" hidden="false" customHeight="true" outlineLevel="0" collapsed="false"/>
    <row r="2549" customFormat="false" ht="15.75" hidden="false" customHeight="true" outlineLevel="0" collapsed="false"/>
    <row r="2550" customFormat="false" ht="15.75" hidden="false" customHeight="true" outlineLevel="0" collapsed="false"/>
    <row r="2551" customFormat="false" ht="15.75" hidden="false" customHeight="true" outlineLevel="0" collapsed="false"/>
    <row r="2552" customFormat="false" ht="15.75" hidden="false" customHeight="true" outlineLevel="0" collapsed="false"/>
    <row r="2553" customFormat="false" ht="15.75" hidden="false" customHeight="true" outlineLevel="0" collapsed="false"/>
    <row r="2554" customFormat="false" ht="15.75" hidden="false" customHeight="true" outlineLevel="0" collapsed="false"/>
    <row r="2555" customFormat="false" ht="15.75" hidden="false" customHeight="true" outlineLevel="0" collapsed="false"/>
    <row r="2556" customFormat="false" ht="15.75" hidden="false" customHeight="true" outlineLevel="0" collapsed="false"/>
    <row r="2557" customFormat="false" ht="15.75" hidden="false" customHeight="true" outlineLevel="0" collapsed="false"/>
    <row r="2558" customFormat="false" ht="15.75" hidden="false" customHeight="true" outlineLevel="0" collapsed="false"/>
    <row r="2559" customFormat="false" ht="15.75" hidden="false" customHeight="true" outlineLevel="0" collapsed="false"/>
    <row r="2560" customFormat="false" ht="15.75" hidden="false" customHeight="true" outlineLevel="0" collapsed="false"/>
    <row r="2561" customFormat="false" ht="15.75" hidden="false" customHeight="true" outlineLevel="0" collapsed="false"/>
    <row r="2562" customFormat="false" ht="15.75" hidden="false" customHeight="true" outlineLevel="0" collapsed="false"/>
    <row r="2563" customFormat="false" ht="15.75" hidden="false" customHeight="true" outlineLevel="0" collapsed="false"/>
    <row r="2564" customFormat="false" ht="15.75" hidden="false" customHeight="true" outlineLevel="0" collapsed="false"/>
    <row r="2565" customFormat="false" ht="15.75" hidden="false" customHeight="true" outlineLevel="0" collapsed="false"/>
    <row r="2566" customFormat="false" ht="15.75" hidden="false" customHeight="true" outlineLevel="0" collapsed="false"/>
    <row r="2567" customFormat="false" ht="15.75" hidden="false" customHeight="true" outlineLevel="0" collapsed="false"/>
    <row r="2568" customFormat="false" ht="15.75" hidden="false" customHeight="true" outlineLevel="0" collapsed="false"/>
    <row r="2569" customFormat="false" ht="15.75" hidden="false" customHeight="true" outlineLevel="0" collapsed="false"/>
    <row r="2570" customFormat="false" ht="15.75" hidden="false" customHeight="true" outlineLevel="0" collapsed="false"/>
    <row r="2571" customFormat="false" ht="15.75" hidden="false" customHeight="true" outlineLevel="0" collapsed="false"/>
    <row r="2572" customFormat="false" ht="15.75" hidden="false" customHeight="true" outlineLevel="0" collapsed="false"/>
    <row r="2573" customFormat="false" ht="15.75" hidden="false" customHeight="true" outlineLevel="0" collapsed="false"/>
    <row r="2574" customFormat="false" ht="15.75" hidden="false" customHeight="true" outlineLevel="0" collapsed="false"/>
    <row r="2575" customFormat="false" ht="15.75" hidden="false" customHeight="true" outlineLevel="0" collapsed="false"/>
    <row r="2576" customFormat="false" ht="15.75" hidden="false" customHeight="true" outlineLevel="0" collapsed="false"/>
    <row r="2577" customFormat="false" ht="15.75" hidden="false" customHeight="true" outlineLevel="0" collapsed="false"/>
    <row r="2578" customFormat="false" ht="15.75" hidden="false" customHeight="true" outlineLevel="0" collapsed="false"/>
    <row r="2579" customFormat="false" ht="15.75" hidden="false" customHeight="true" outlineLevel="0" collapsed="false"/>
    <row r="2580" customFormat="false" ht="15.75" hidden="false" customHeight="true" outlineLevel="0" collapsed="false"/>
    <row r="2581" customFormat="false" ht="15.75" hidden="false" customHeight="true" outlineLevel="0" collapsed="false"/>
    <row r="2582" customFormat="false" ht="15.75" hidden="false" customHeight="true" outlineLevel="0" collapsed="false"/>
    <row r="2583" customFormat="false" ht="15.75" hidden="false" customHeight="true" outlineLevel="0" collapsed="false"/>
    <row r="2584" customFormat="false" ht="15.75" hidden="false" customHeight="true" outlineLevel="0" collapsed="false"/>
    <row r="2585" customFormat="false" ht="15.75" hidden="false" customHeight="true" outlineLevel="0" collapsed="false"/>
    <row r="2586" customFormat="false" ht="15.75" hidden="false" customHeight="true" outlineLevel="0" collapsed="false"/>
    <row r="2587" customFormat="false" ht="15.75" hidden="false" customHeight="true" outlineLevel="0" collapsed="false"/>
    <row r="2588" customFormat="false" ht="15.75" hidden="false" customHeight="true" outlineLevel="0" collapsed="false"/>
    <row r="2589" customFormat="false" ht="15.75" hidden="false" customHeight="true" outlineLevel="0" collapsed="false"/>
    <row r="2590" customFormat="false" ht="15.75" hidden="false" customHeight="true" outlineLevel="0" collapsed="false"/>
    <row r="2591" customFormat="false" ht="15.75" hidden="false" customHeight="true" outlineLevel="0" collapsed="false"/>
    <row r="2592" customFormat="false" ht="15.75" hidden="false" customHeight="true" outlineLevel="0" collapsed="false"/>
    <row r="2593" customFormat="false" ht="15.75" hidden="false" customHeight="true" outlineLevel="0" collapsed="false"/>
    <row r="2594" customFormat="false" ht="15.75" hidden="false" customHeight="true" outlineLevel="0" collapsed="false"/>
    <row r="2595" customFormat="false" ht="15.75" hidden="false" customHeight="true" outlineLevel="0" collapsed="false"/>
    <row r="2596" customFormat="false" ht="15.75" hidden="false" customHeight="true" outlineLevel="0" collapsed="false"/>
    <row r="2597" customFormat="false" ht="15.75" hidden="false" customHeight="true" outlineLevel="0" collapsed="false"/>
    <row r="2598" customFormat="false" ht="15.75" hidden="false" customHeight="true" outlineLevel="0" collapsed="false"/>
    <row r="2599" customFormat="false" ht="15.75" hidden="false" customHeight="true" outlineLevel="0" collapsed="false"/>
    <row r="2600" customFormat="false" ht="15.75" hidden="false" customHeight="true" outlineLevel="0" collapsed="false"/>
    <row r="2601" customFormat="false" ht="15.75" hidden="false" customHeight="true" outlineLevel="0" collapsed="false"/>
    <row r="2602" customFormat="false" ht="15.75" hidden="false" customHeight="true" outlineLevel="0" collapsed="false"/>
    <row r="2603" customFormat="false" ht="15.75" hidden="false" customHeight="true" outlineLevel="0" collapsed="false"/>
    <row r="2604" customFormat="false" ht="15.75" hidden="false" customHeight="true" outlineLevel="0" collapsed="false"/>
    <row r="2605" customFormat="false" ht="15.75" hidden="false" customHeight="true" outlineLevel="0" collapsed="false"/>
    <row r="2606" customFormat="false" ht="15.75" hidden="false" customHeight="true" outlineLevel="0" collapsed="false"/>
    <row r="2607" customFormat="false" ht="15.75" hidden="false" customHeight="true" outlineLevel="0" collapsed="false"/>
    <row r="2608" customFormat="false" ht="15.75" hidden="false" customHeight="true" outlineLevel="0" collapsed="false"/>
    <row r="2609" customFormat="false" ht="15.75" hidden="false" customHeight="true" outlineLevel="0" collapsed="false"/>
    <row r="2610" customFormat="false" ht="15.75" hidden="false" customHeight="true" outlineLevel="0" collapsed="false"/>
    <row r="2611" customFormat="false" ht="15.75" hidden="false" customHeight="true" outlineLevel="0" collapsed="false"/>
    <row r="2612" customFormat="false" ht="15.75" hidden="false" customHeight="true" outlineLevel="0" collapsed="false"/>
    <row r="2613" customFormat="false" ht="15.75" hidden="false" customHeight="true" outlineLevel="0" collapsed="false"/>
    <row r="2614" customFormat="false" ht="15.75" hidden="false" customHeight="true" outlineLevel="0" collapsed="false"/>
    <row r="2615" customFormat="false" ht="15.75" hidden="false" customHeight="true" outlineLevel="0" collapsed="false"/>
    <row r="2616" customFormat="false" ht="15.75" hidden="false" customHeight="true" outlineLevel="0" collapsed="false"/>
    <row r="2617" customFormat="false" ht="15.75" hidden="false" customHeight="true" outlineLevel="0" collapsed="false"/>
    <row r="2618" customFormat="false" ht="15.75" hidden="false" customHeight="true" outlineLevel="0" collapsed="false"/>
    <row r="2619" customFormat="false" ht="15.75" hidden="false" customHeight="true" outlineLevel="0" collapsed="false"/>
    <row r="2620" customFormat="false" ht="15.75" hidden="false" customHeight="true" outlineLevel="0" collapsed="false"/>
    <row r="2621" customFormat="false" ht="15.75" hidden="false" customHeight="true" outlineLevel="0" collapsed="false"/>
    <row r="2622" customFormat="false" ht="15.75" hidden="false" customHeight="true" outlineLevel="0" collapsed="false"/>
    <row r="2623" customFormat="false" ht="15.75" hidden="false" customHeight="true" outlineLevel="0" collapsed="false"/>
    <row r="2624" customFormat="false" ht="15.75" hidden="false" customHeight="true" outlineLevel="0" collapsed="false"/>
    <row r="2625" customFormat="false" ht="15.75" hidden="false" customHeight="true" outlineLevel="0" collapsed="false"/>
    <row r="2626" customFormat="false" ht="15.75" hidden="false" customHeight="true" outlineLevel="0" collapsed="false"/>
    <row r="2627" customFormat="false" ht="15.75" hidden="false" customHeight="true" outlineLevel="0" collapsed="false"/>
    <row r="2628" customFormat="false" ht="15.75" hidden="false" customHeight="true" outlineLevel="0" collapsed="false"/>
    <row r="2629" customFormat="false" ht="15.75" hidden="false" customHeight="true" outlineLevel="0" collapsed="false"/>
    <row r="2630" customFormat="false" ht="15.75" hidden="false" customHeight="true" outlineLevel="0" collapsed="false"/>
    <row r="2631" customFormat="false" ht="15.75" hidden="false" customHeight="true" outlineLevel="0" collapsed="false"/>
    <row r="2632" customFormat="false" ht="15.75" hidden="false" customHeight="true" outlineLevel="0" collapsed="false"/>
    <row r="2633" customFormat="false" ht="15.75" hidden="false" customHeight="true" outlineLevel="0" collapsed="false"/>
    <row r="2634" customFormat="false" ht="15.75" hidden="false" customHeight="true" outlineLevel="0" collapsed="false"/>
    <row r="2635" customFormat="false" ht="15.75" hidden="false" customHeight="true" outlineLevel="0" collapsed="false"/>
    <row r="2636" customFormat="false" ht="15.75" hidden="false" customHeight="true" outlineLevel="0" collapsed="false"/>
    <row r="2637" customFormat="false" ht="15.75" hidden="false" customHeight="true" outlineLevel="0" collapsed="false"/>
    <row r="2638" customFormat="false" ht="15.75" hidden="false" customHeight="true" outlineLevel="0" collapsed="false"/>
    <row r="2639" customFormat="false" ht="15.75" hidden="false" customHeight="true" outlineLevel="0" collapsed="false"/>
    <row r="2640" customFormat="false" ht="15.75" hidden="false" customHeight="true" outlineLevel="0" collapsed="false"/>
    <row r="2641" customFormat="false" ht="15.75" hidden="false" customHeight="true" outlineLevel="0" collapsed="false"/>
    <row r="2642" customFormat="false" ht="15.75" hidden="false" customHeight="true" outlineLevel="0" collapsed="false"/>
    <row r="2643" customFormat="false" ht="15.75" hidden="false" customHeight="true" outlineLevel="0" collapsed="false"/>
    <row r="2644" customFormat="false" ht="15.75" hidden="false" customHeight="true" outlineLevel="0" collapsed="false"/>
    <row r="2645" customFormat="false" ht="15.75" hidden="false" customHeight="true" outlineLevel="0" collapsed="false"/>
    <row r="2646" customFormat="false" ht="15.75" hidden="false" customHeight="true" outlineLevel="0" collapsed="false"/>
    <row r="2647" customFormat="false" ht="15.75" hidden="false" customHeight="true" outlineLevel="0" collapsed="false"/>
    <row r="2648" customFormat="false" ht="15.75" hidden="false" customHeight="true" outlineLevel="0" collapsed="false"/>
    <row r="2649" customFormat="false" ht="15.75" hidden="false" customHeight="true" outlineLevel="0" collapsed="false"/>
    <row r="2650" customFormat="false" ht="15.75" hidden="false" customHeight="true" outlineLevel="0" collapsed="false"/>
    <row r="2651" customFormat="false" ht="15.75" hidden="false" customHeight="true" outlineLevel="0" collapsed="false"/>
    <row r="2652" customFormat="false" ht="15.75" hidden="false" customHeight="true" outlineLevel="0" collapsed="false"/>
    <row r="2653" customFormat="false" ht="15.75" hidden="false" customHeight="true" outlineLevel="0" collapsed="false"/>
    <row r="2654" customFormat="false" ht="15.75" hidden="false" customHeight="true" outlineLevel="0" collapsed="false"/>
    <row r="2655" customFormat="false" ht="15.75" hidden="false" customHeight="true" outlineLevel="0" collapsed="false"/>
    <row r="2656" customFormat="false" ht="15.75" hidden="false" customHeight="true" outlineLevel="0" collapsed="false"/>
    <row r="2657" customFormat="false" ht="15.75" hidden="false" customHeight="true" outlineLevel="0" collapsed="false"/>
    <row r="2658" customFormat="false" ht="15.75" hidden="false" customHeight="true" outlineLevel="0" collapsed="false"/>
    <row r="2659" customFormat="false" ht="15.75" hidden="false" customHeight="true" outlineLevel="0" collapsed="false"/>
    <row r="2660" customFormat="false" ht="15.75" hidden="false" customHeight="true" outlineLevel="0" collapsed="false"/>
    <row r="2661" customFormat="false" ht="15.75" hidden="false" customHeight="true" outlineLevel="0" collapsed="false"/>
    <row r="2662" customFormat="false" ht="15.75" hidden="false" customHeight="true" outlineLevel="0" collapsed="false"/>
    <row r="2663" customFormat="false" ht="15.75" hidden="false" customHeight="true" outlineLevel="0" collapsed="false"/>
    <row r="2664" customFormat="false" ht="15.75" hidden="false" customHeight="true" outlineLevel="0" collapsed="false"/>
    <row r="2665" customFormat="false" ht="15.75" hidden="false" customHeight="true" outlineLevel="0" collapsed="false"/>
    <row r="2666" customFormat="false" ht="15.75" hidden="false" customHeight="true" outlineLevel="0" collapsed="false"/>
    <row r="2667" customFormat="false" ht="15.75" hidden="false" customHeight="true" outlineLevel="0" collapsed="false"/>
    <row r="2668" customFormat="false" ht="15.75" hidden="false" customHeight="true" outlineLevel="0" collapsed="false"/>
    <row r="2669" customFormat="false" ht="15.75" hidden="false" customHeight="true" outlineLevel="0" collapsed="false"/>
    <row r="2670" customFormat="false" ht="15.75" hidden="false" customHeight="true" outlineLevel="0" collapsed="false"/>
    <row r="2671" customFormat="false" ht="15.75" hidden="false" customHeight="true" outlineLevel="0" collapsed="false"/>
    <row r="2672" customFormat="false" ht="15.75" hidden="false" customHeight="true" outlineLevel="0" collapsed="false"/>
    <row r="2673" customFormat="false" ht="15.75" hidden="false" customHeight="true" outlineLevel="0" collapsed="false"/>
    <row r="2674" customFormat="false" ht="15.75" hidden="false" customHeight="true" outlineLevel="0" collapsed="false"/>
    <row r="2675" customFormat="false" ht="15.75" hidden="false" customHeight="true" outlineLevel="0" collapsed="false"/>
    <row r="2676" customFormat="false" ht="15.75" hidden="false" customHeight="true" outlineLevel="0" collapsed="false"/>
    <row r="2677" customFormat="false" ht="15.75" hidden="false" customHeight="true" outlineLevel="0" collapsed="false"/>
    <row r="2678" customFormat="false" ht="15.75" hidden="false" customHeight="true" outlineLevel="0" collapsed="false"/>
    <row r="2679" customFormat="false" ht="15.75" hidden="false" customHeight="true" outlineLevel="0" collapsed="false"/>
    <row r="2680" customFormat="false" ht="15.75" hidden="false" customHeight="true" outlineLevel="0" collapsed="false"/>
    <row r="2681" customFormat="false" ht="15.75" hidden="false" customHeight="true" outlineLevel="0" collapsed="false"/>
    <row r="2682" customFormat="false" ht="15.75" hidden="false" customHeight="true" outlineLevel="0" collapsed="false"/>
    <row r="2683" customFormat="false" ht="15.75" hidden="false" customHeight="true" outlineLevel="0" collapsed="false"/>
    <row r="2684" customFormat="false" ht="15.75" hidden="false" customHeight="true" outlineLevel="0" collapsed="false"/>
    <row r="2685" customFormat="false" ht="15.75" hidden="false" customHeight="true" outlineLevel="0" collapsed="false"/>
    <row r="2686" customFormat="false" ht="15.75" hidden="false" customHeight="true" outlineLevel="0" collapsed="false"/>
    <row r="2687" customFormat="false" ht="15.75" hidden="false" customHeight="true" outlineLevel="0" collapsed="false"/>
    <row r="2688" customFormat="false" ht="15.75" hidden="false" customHeight="true" outlineLevel="0" collapsed="false"/>
    <row r="2689" customFormat="false" ht="15.75" hidden="false" customHeight="true" outlineLevel="0" collapsed="false"/>
    <row r="2690" customFormat="false" ht="15.75" hidden="false" customHeight="true" outlineLevel="0" collapsed="false"/>
    <row r="2691" customFormat="false" ht="15.75" hidden="false" customHeight="true" outlineLevel="0" collapsed="false"/>
    <row r="2692" customFormat="false" ht="15.75" hidden="false" customHeight="true" outlineLevel="0" collapsed="false"/>
    <row r="2693" customFormat="false" ht="15.75" hidden="false" customHeight="true" outlineLevel="0" collapsed="false"/>
    <row r="2694" customFormat="false" ht="15.75" hidden="false" customHeight="true" outlineLevel="0" collapsed="false"/>
    <row r="2695" customFormat="false" ht="15.75" hidden="false" customHeight="true" outlineLevel="0" collapsed="false"/>
    <row r="2696" customFormat="false" ht="15.75" hidden="false" customHeight="true" outlineLevel="0" collapsed="false"/>
    <row r="2697" customFormat="false" ht="15.75" hidden="false" customHeight="true" outlineLevel="0" collapsed="false"/>
    <row r="2698" customFormat="false" ht="15.75" hidden="false" customHeight="true" outlineLevel="0" collapsed="false"/>
    <row r="2699" customFormat="false" ht="15.75" hidden="false" customHeight="true" outlineLevel="0" collapsed="false"/>
    <row r="2700" customFormat="false" ht="15.75" hidden="false" customHeight="true" outlineLevel="0" collapsed="false"/>
    <row r="2701" customFormat="false" ht="15.75" hidden="false" customHeight="true" outlineLevel="0" collapsed="false"/>
    <row r="2702" customFormat="false" ht="15.75" hidden="false" customHeight="true" outlineLevel="0" collapsed="false"/>
    <row r="2703" customFormat="false" ht="15.75" hidden="false" customHeight="true" outlineLevel="0" collapsed="false"/>
    <row r="2704" customFormat="false" ht="15.75" hidden="false" customHeight="true" outlineLevel="0" collapsed="false"/>
    <row r="2705" customFormat="false" ht="15.75" hidden="false" customHeight="true" outlineLevel="0" collapsed="false"/>
    <row r="2706" customFormat="false" ht="15.75" hidden="false" customHeight="true" outlineLevel="0" collapsed="false"/>
    <row r="2707" customFormat="false" ht="15.75" hidden="false" customHeight="true" outlineLevel="0" collapsed="false"/>
    <row r="2708" customFormat="false" ht="15.75" hidden="false" customHeight="true" outlineLevel="0" collapsed="false"/>
    <row r="2709" customFormat="false" ht="15.75" hidden="false" customHeight="true" outlineLevel="0" collapsed="false"/>
    <row r="2710" customFormat="false" ht="15.75" hidden="false" customHeight="true" outlineLevel="0" collapsed="false"/>
    <row r="2711" customFormat="false" ht="15.75" hidden="false" customHeight="true" outlineLevel="0" collapsed="false"/>
    <row r="2712" customFormat="false" ht="15.75" hidden="false" customHeight="true" outlineLevel="0" collapsed="false"/>
    <row r="2713" customFormat="false" ht="15.75" hidden="false" customHeight="true" outlineLevel="0" collapsed="false"/>
    <row r="2714" customFormat="false" ht="15.75" hidden="false" customHeight="true" outlineLevel="0" collapsed="false"/>
    <row r="2715" customFormat="false" ht="15.75" hidden="false" customHeight="true" outlineLevel="0" collapsed="false"/>
    <row r="2716" customFormat="false" ht="15.75" hidden="false" customHeight="true" outlineLevel="0" collapsed="false"/>
    <row r="2717" customFormat="false" ht="15.75" hidden="false" customHeight="true" outlineLevel="0" collapsed="false"/>
    <row r="2718" customFormat="false" ht="15.75" hidden="false" customHeight="true" outlineLevel="0" collapsed="false"/>
    <row r="2719" customFormat="false" ht="15.75" hidden="false" customHeight="true" outlineLevel="0" collapsed="false"/>
    <row r="2720" customFormat="false" ht="15.75" hidden="false" customHeight="true" outlineLevel="0" collapsed="false"/>
    <row r="2721" customFormat="false" ht="15.75" hidden="false" customHeight="true" outlineLevel="0" collapsed="false"/>
    <row r="2722" customFormat="false" ht="15.75" hidden="false" customHeight="true" outlineLevel="0" collapsed="false"/>
    <row r="2723" customFormat="false" ht="15.75" hidden="false" customHeight="true" outlineLevel="0" collapsed="false"/>
    <row r="2724" customFormat="false" ht="15.75" hidden="false" customHeight="true" outlineLevel="0" collapsed="false"/>
    <row r="2725" customFormat="false" ht="15.75" hidden="false" customHeight="true" outlineLevel="0" collapsed="false"/>
    <row r="2726" customFormat="false" ht="15.75" hidden="false" customHeight="true" outlineLevel="0" collapsed="false"/>
    <row r="2727" customFormat="false" ht="15.75" hidden="false" customHeight="true" outlineLevel="0" collapsed="false"/>
    <row r="2728" customFormat="false" ht="15.75" hidden="false" customHeight="true" outlineLevel="0" collapsed="false"/>
    <row r="2729" customFormat="false" ht="15.75" hidden="false" customHeight="true" outlineLevel="0" collapsed="false"/>
    <row r="2730" customFormat="false" ht="15.75" hidden="false" customHeight="true" outlineLevel="0" collapsed="false"/>
    <row r="2731" customFormat="false" ht="15.75" hidden="false" customHeight="true" outlineLevel="0" collapsed="false"/>
    <row r="2732" customFormat="false" ht="15.75" hidden="false" customHeight="true" outlineLevel="0" collapsed="false"/>
    <row r="2733" customFormat="false" ht="15.75" hidden="false" customHeight="true" outlineLevel="0" collapsed="false"/>
    <row r="2734" customFormat="false" ht="15.75" hidden="false" customHeight="true" outlineLevel="0" collapsed="false"/>
    <row r="2735" customFormat="false" ht="15.75" hidden="false" customHeight="true" outlineLevel="0" collapsed="false"/>
    <row r="2736" customFormat="false" ht="15.75" hidden="false" customHeight="true" outlineLevel="0" collapsed="false"/>
    <row r="2737" customFormat="false" ht="15.75" hidden="false" customHeight="true" outlineLevel="0" collapsed="false"/>
    <row r="2738" customFormat="false" ht="15.75" hidden="false" customHeight="true" outlineLevel="0" collapsed="false"/>
    <row r="2739" customFormat="false" ht="15.75" hidden="false" customHeight="true" outlineLevel="0" collapsed="false"/>
    <row r="2740" customFormat="false" ht="15.75" hidden="false" customHeight="true" outlineLevel="0" collapsed="false"/>
    <row r="2741" customFormat="false" ht="15.75" hidden="false" customHeight="true" outlineLevel="0" collapsed="false"/>
    <row r="2742" customFormat="false" ht="15.75" hidden="false" customHeight="true" outlineLevel="0" collapsed="false"/>
    <row r="2743" customFormat="false" ht="15.75" hidden="false" customHeight="true" outlineLevel="0" collapsed="false"/>
    <row r="2744" customFormat="false" ht="15.75" hidden="false" customHeight="true" outlineLevel="0" collapsed="false"/>
    <row r="2745" customFormat="false" ht="15.75" hidden="false" customHeight="true" outlineLevel="0" collapsed="false"/>
    <row r="2746" customFormat="false" ht="15.75" hidden="false" customHeight="true" outlineLevel="0" collapsed="false"/>
    <row r="2747" customFormat="false" ht="15.75" hidden="false" customHeight="true" outlineLevel="0" collapsed="false"/>
    <row r="2748" customFormat="false" ht="15.75" hidden="false" customHeight="true" outlineLevel="0" collapsed="false"/>
    <row r="2749" customFormat="false" ht="15.75" hidden="false" customHeight="true" outlineLevel="0" collapsed="false"/>
    <row r="2750" customFormat="false" ht="15.75" hidden="false" customHeight="true" outlineLevel="0" collapsed="false"/>
    <row r="2751" customFormat="false" ht="15.75" hidden="false" customHeight="true" outlineLevel="0" collapsed="false"/>
    <row r="2752" customFormat="false" ht="15.75" hidden="false" customHeight="true" outlineLevel="0" collapsed="false"/>
    <row r="2753" customFormat="false" ht="15.75" hidden="false" customHeight="true" outlineLevel="0" collapsed="false"/>
    <row r="2754" customFormat="false" ht="15.75" hidden="false" customHeight="true" outlineLevel="0" collapsed="false"/>
    <row r="2755" customFormat="false" ht="15.75" hidden="false" customHeight="true" outlineLevel="0" collapsed="false"/>
    <row r="2756" customFormat="false" ht="15.75" hidden="false" customHeight="true" outlineLevel="0" collapsed="false"/>
    <row r="2757" customFormat="false" ht="15.75" hidden="false" customHeight="true" outlineLevel="0" collapsed="false"/>
    <row r="2758" customFormat="false" ht="15.75" hidden="false" customHeight="true" outlineLevel="0" collapsed="false"/>
    <row r="2759" customFormat="false" ht="15.75" hidden="false" customHeight="true" outlineLevel="0" collapsed="false"/>
    <row r="2760" customFormat="false" ht="15.75" hidden="false" customHeight="true" outlineLevel="0" collapsed="false"/>
    <row r="2761" customFormat="false" ht="15.75" hidden="false" customHeight="true" outlineLevel="0" collapsed="false"/>
    <row r="2762" customFormat="false" ht="15.75" hidden="false" customHeight="true" outlineLevel="0" collapsed="false"/>
    <row r="2763" customFormat="false" ht="15.75" hidden="false" customHeight="true" outlineLevel="0" collapsed="false"/>
    <row r="2764" customFormat="false" ht="15.75" hidden="false" customHeight="true" outlineLevel="0" collapsed="false"/>
    <row r="2765" customFormat="false" ht="15.75" hidden="false" customHeight="true" outlineLevel="0" collapsed="false"/>
    <row r="2766" customFormat="false" ht="15.75" hidden="false" customHeight="true" outlineLevel="0" collapsed="false"/>
    <row r="2767" customFormat="false" ht="15.75" hidden="false" customHeight="true" outlineLevel="0" collapsed="false"/>
    <row r="2768" customFormat="false" ht="15.75" hidden="false" customHeight="true" outlineLevel="0" collapsed="false"/>
    <row r="2769" customFormat="false" ht="15.75" hidden="false" customHeight="true" outlineLevel="0" collapsed="false"/>
    <row r="2770" customFormat="false" ht="15.75" hidden="false" customHeight="true" outlineLevel="0" collapsed="false"/>
    <row r="2771" customFormat="false" ht="15.75" hidden="false" customHeight="true" outlineLevel="0" collapsed="false"/>
    <row r="2772" customFormat="false" ht="15.75" hidden="false" customHeight="true" outlineLevel="0" collapsed="false"/>
    <row r="2773" customFormat="false" ht="15.75" hidden="false" customHeight="true" outlineLevel="0" collapsed="false"/>
    <row r="2774" customFormat="false" ht="15.75" hidden="false" customHeight="true" outlineLevel="0" collapsed="false"/>
    <row r="2775" customFormat="false" ht="15.75" hidden="false" customHeight="true" outlineLevel="0" collapsed="false"/>
    <row r="2776" customFormat="false" ht="15.75" hidden="false" customHeight="true" outlineLevel="0" collapsed="false"/>
    <row r="2777" customFormat="false" ht="15.75" hidden="false" customHeight="true" outlineLevel="0" collapsed="false"/>
    <row r="2778" customFormat="false" ht="15.75" hidden="false" customHeight="true" outlineLevel="0" collapsed="false"/>
    <row r="2779" customFormat="false" ht="15.75" hidden="false" customHeight="true" outlineLevel="0" collapsed="false"/>
    <row r="2780" customFormat="false" ht="15.75" hidden="false" customHeight="true" outlineLevel="0" collapsed="false"/>
    <row r="2781" customFormat="false" ht="15.75" hidden="false" customHeight="true" outlineLevel="0" collapsed="false"/>
    <row r="2782" customFormat="false" ht="15.75" hidden="false" customHeight="true" outlineLevel="0" collapsed="false"/>
    <row r="2783" customFormat="false" ht="15.75" hidden="false" customHeight="true" outlineLevel="0" collapsed="false"/>
    <row r="2784" customFormat="false" ht="15.75" hidden="false" customHeight="true" outlineLevel="0" collapsed="false"/>
    <row r="2785" customFormat="false" ht="15.75" hidden="false" customHeight="true" outlineLevel="0" collapsed="false"/>
    <row r="2786" customFormat="false" ht="15.75" hidden="false" customHeight="true" outlineLevel="0" collapsed="false"/>
    <row r="2787" customFormat="false" ht="15.75" hidden="false" customHeight="true" outlineLevel="0" collapsed="false"/>
    <row r="2788" customFormat="false" ht="15.75" hidden="false" customHeight="true" outlineLevel="0" collapsed="false"/>
    <row r="2789" customFormat="false" ht="15.75" hidden="false" customHeight="true" outlineLevel="0" collapsed="false"/>
    <row r="2790" customFormat="false" ht="15.75" hidden="false" customHeight="true" outlineLevel="0" collapsed="false"/>
    <row r="2791" customFormat="false" ht="15.75" hidden="false" customHeight="true" outlineLevel="0" collapsed="false"/>
    <row r="2792" customFormat="false" ht="15.75" hidden="false" customHeight="true" outlineLevel="0" collapsed="false"/>
    <row r="2793" customFormat="false" ht="15.75" hidden="false" customHeight="true" outlineLevel="0" collapsed="false"/>
    <row r="2794" customFormat="false" ht="15.75" hidden="false" customHeight="true" outlineLevel="0" collapsed="false"/>
    <row r="2795" customFormat="false" ht="15.75" hidden="false" customHeight="true" outlineLevel="0" collapsed="false"/>
    <row r="2796" customFormat="false" ht="15.75" hidden="false" customHeight="true" outlineLevel="0" collapsed="false"/>
    <row r="2797" customFormat="false" ht="15.75" hidden="false" customHeight="true" outlineLevel="0" collapsed="false"/>
    <row r="2798" customFormat="false" ht="15.75" hidden="false" customHeight="true" outlineLevel="0" collapsed="false"/>
    <row r="2799" customFormat="false" ht="15.75" hidden="false" customHeight="true" outlineLevel="0" collapsed="false"/>
    <row r="2800" customFormat="false" ht="15.75" hidden="false" customHeight="true" outlineLevel="0" collapsed="false"/>
    <row r="2801" customFormat="false" ht="15.75" hidden="false" customHeight="true" outlineLevel="0" collapsed="false"/>
    <row r="2802" customFormat="false" ht="15.75" hidden="false" customHeight="true" outlineLevel="0" collapsed="false"/>
    <row r="2803" customFormat="false" ht="15.75" hidden="false" customHeight="true" outlineLevel="0" collapsed="false"/>
    <row r="2804" customFormat="false" ht="15.75" hidden="false" customHeight="true" outlineLevel="0" collapsed="false"/>
    <row r="2805" customFormat="false" ht="15.75" hidden="false" customHeight="true" outlineLevel="0" collapsed="false"/>
    <row r="2806" customFormat="false" ht="15.75" hidden="false" customHeight="true" outlineLevel="0" collapsed="false"/>
    <row r="2807" customFormat="false" ht="15.75" hidden="false" customHeight="true" outlineLevel="0" collapsed="false"/>
    <row r="2808" customFormat="false" ht="15.75" hidden="false" customHeight="true" outlineLevel="0" collapsed="false"/>
    <row r="2809" customFormat="false" ht="15.75" hidden="false" customHeight="true" outlineLevel="0" collapsed="false"/>
    <row r="2810" customFormat="false" ht="15.75" hidden="false" customHeight="true" outlineLevel="0" collapsed="false"/>
    <row r="2811" customFormat="false" ht="15.75" hidden="false" customHeight="true" outlineLevel="0" collapsed="false"/>
    <row r="2812" customFormat="false" ht="15.75" hidden="false" customHeight="true" outlineLevel="0" collapsed="false"/>
    <row r="2813" customFormat="false" ht="15.75" hidden="false" customHeight="true" outlineLevel="0" collapsed="false"/>
    <row r="2814" customFormat="false" ht="15.75" hidden="false" customHeight="true" outlineLevel="0" collapsed="false"/>
    <row r="2815" customFormat="false" ht="15.75" hidden="false" customHeight="true" outlineLevel="0" collapsed="false"/>
    <row r="2816" customFormat="false" ht="15.75" hidden="false" customHeight="true" outlineLevel="0" collapsed="false"/>
    <row r="2817" customFormat="false" ht="15.75" hidden="false" customHeight="true" outlineLevel="0" collapsed="false"/>
    <row r="2818" customFormat="false" ht="15.75" hidden="false" customHeight="true" outlineLevel="0" collapsed="false"/>
    <row r="2819" customFormat="false" ht="15.75" hidden="false" customHeight="true" outlineLevel="0" collapsed="false"/>
    <row r="2820" customFormat="false" ht="15.75" hidden="false" customHeight="true" outlineLevel="0" collapsed="false"/>
    <row r="2821" customFormat="false" ht="15.75" hidden="false" customHeight="true" outlineLevel="0" collapsed="false"/>
    <row r="2822" customFormat="false" ht="15.75" hidden="false" customHeight="true" outlineLevel="0" collapsed="false"/>
    <row r="2823" customFormat="false" ht="15.75" hidden="false" customHeight="true" outlineLevel="0" collapsed="false"/>
    <row r="2824" customFormat="false" ht="15.75" hidden="false" customHeight="true" outlineLevel="0" collapsed="false"/>
    <row r="2825" customFormat="false" ht="15.75" hidden="false" customHeight="true" outlineLevel="0" collapsed="false"/>
    <row r="2826" customFormat="false" ht="15.75" hidden="false" customHeight="true" outlineLevel="0" collapsed="false"/>
    <row r="2827" customFormat="false" ht="15.75" hidden="false" customHeight="true" outlineLevel="0" collapsed="false"/>
    <row r="2828" customFormat="false" ht="15.75" hidden="false" customHeight="true" outlineLevel="0" collapsed="false"/>
    <row r="2829" customFormat="false" ht="15.75" hidden="false" customHeight="true" outlineLevel="0" collapsed="false"/>
    <row r="2830" customFormat="false" ht="15.75" hidden="false" customHeight="true" outlineLevel="0" collapsed="false"/>
    <row r="2831" customFormat="false" ht="15.75" hidden="false" customHeight="true" outlineLevel="0" collapsed="false"/>
    <row r="2832" customFormat="false" ht="15.75" hidden="false" customHeight="true" outlineLevel="0" collapsed="false"/>
    <row r="2833" customFormat="false" ht="15.75" hidden="false" customHeight="true" outlineLevel="0" collapsed="false"/>
    <row r="2834" customFormat="false" ht="15.75" hidden="false" customHeight="true" outlineLevel="0" collapsed="false"/>
    <row r="2835" customFormat="false" ht="15.75" hidden="false" customHeight="true" outlineLevel="0" collapsed="false"/>
    <row r="2836" customFormat="false" ht="15.75" hidden="false" customHeight="true" outlineLevel="0" collapsed="false"/>
    <row r="2837" customFormat="false" ht="15.75" hidden="false" customHeight="true" outlineLevel="0" collapsed="false"/>
    <row r="2838" customFormat="false" ht="15.75" hidden="false" customHeight="true" outlineLevel="0" collapsed="false"/>
    <row r="2839" customFormat="false" ht="15.75" hidden="false" customHeight="true" outlineLevel="0" collapsed="false"/>
    <row r="2840" customFormat="false" ht="15.75" hidden="false" customHeight="true" outlineLevel="0" collapsed="false"/>
    <row r="2841" customFormat="false" ht="15.75" hidden="false" customHeight="true" outlineLevel="0" collapsed="false"/>
    <row r="2842" customFormat="false" ht="15.75" hidden="false" customHeight="true" outlineLevel="0" collapsed="false"/>
    <row r="2843" customFormat="false" ht="15.75" hidden="false" customHeight="true" outlineLevel="0" collapsed="false"/>
    <row r="2844" customFormat="false" ht="15.75" hidden="false" customHeight="true" outlineLevel="0" collapsed="false"/>
    <row r="2845" customFormat="false" ht="15.75" hidden="false" customHeight="true" outlineLevel="0" collapsed="false"/>
    <row r="2846" customFormat="false" ht="15.75" hidden="false" customHeight="true" outlineLevel="0" collapsed="false"/>
    <row r="2847" customFormat="false" ht="15.75" hidden="false" customHeight="true" outlineLevel="0" collapsed="false"/>
    <row r="2848" customFormat="false" ht="15.75" hidden="false" customHeight="true" outlineLevel="0" collapsed="false"/>
    <row r="2849" customFormat="false" ht="15.75" hidden="false" customHeight="true" outlineLevel="0" collapsed="false"/>
    <row r="2850" customFormat="false" ht="15.75" hidden="false" customHeight="true" outlineLevel="0" collapsed="false"/>
    <row r="2851" customFormat="false" ht="15.75" hidden="false" customHeight="true" outlineLevel="0" collapsed="false"/>
    <row r="2852" customFormat="false" ht="15.75" hidden="false" customHeight="true" outlineLevel="0" collapsed="false"/>
    <row r="2853" customFormat="false" ht="15.75" hidden="false" customHeight="true" outlineLevel="0" collapsed="false"/>
    <row r="2854" customFormat="false" ht="15.75" hidden="false" customHeight="true" outlineLevel="0" collapsed="false"/>
    <row r="2855" customFormat="false" ht="15.75" hidden="false" customHeight="true" outlineLevel="0" collapsed="false"/>
    <row r="2856" customFormat="false" ht="15.75" hidden="false" customHeight="true" outlineLevel="0" collapsed="false"/>
    <row r="2857" customFormat="false" ht="15.75" hidden="false" customHeight="true" outlineLevel="0" collapsed="false"/>
    <row r="2858" customFormat="false" ht="15.75" hidden="false" customHeight="true" outlineLevel="0" collapsed="false"/>
    <row r="2859" customFormat="false" ht="15.75" hidden="false" customHeight="true" outlineLevel="0" collapsed="false"/>
    <row r="2860" customFormat="false" ht="15.75" hidden="false" customHeight="true" outlineLevel="0" collapsed="false"/>
    <row r="2861" customFormat="false" ht="15.75" hidden="false" customHeight="true" outlineLevel="0" collapsed="false"/>
    <row r="2862" customFormat="false" ht="15.75" hidden="false" customHeight="true" outlineLevel="0" collapsed="false"/>
    <row r="2863" customFormat="false" ht="15.75" hidden="false" customHeight="true" outlineLevel="0" collapsed="false"/>
    <row r="2864" customFormat="false" ht="15.75" hidden="false" customHeight="true" outlineLevel="0" collapsed="false"/>
    <row r="2865" customFormat="false" ht="15.75" hidden="false" customHeight="true" outlineLevel="0" collapsed="false"/>
    <row r="2866" customFormat="false" ht="15.75" hidden="false" customHeight="true" outlineLevel="0" collapsed="false"/>
    <row r="2867" customFormat="false" ht="15.75" hidden="false" customHeight="true" outlineLevel="0" collapsed="false"/>
    <row r="2868" customFormat="false" ht="15.75" hidden="false" customHeight="true" outlineLevel="0" collapsed="false"/>
    <row r="2869" customFormat="false" ht="15.75" hidden="false" customHeight="true" outlineLevel="0" collapsed="false"/>
    <row r="2870" customFormat="false" ht="15.75" hidden="false" customHeight="true" outlineLevel="0" collapsed="false"/>
    <row r="2871" customFormat="false" ht="15.75" hidden="false" customHeight="true" outlineLevel="0" collapsed="false"/>
    <row r="2872" customFormat="false" ht="15.75" hidden="false" customHeight="true" outlineLevel="0" collapsed="false"/>
    <row r="2873" customFormat="false" ht="15.75" hidden="false" customHeight="true" outlineLevel="0" collapsed="false"/>
    <row r="2874" customFormat="false" ht="15.75" hidden="false" customHeight="true" outlineLevel="0" collapsed="false"/>
    <row r="2875" customFormat="false" ht="15.75" hidden="false" customHeight="true" outlineLevel="0" collapsed="false"/>
    <row r="2876" customFormat="false" ht="15.75" hidden="false" customHeight="true" outlineLevel="0" collapsed="false"/>
    <row r="2877" customFormat="false" ht="15.75" hidden="false" customHeight="true" outlineLevel="0" collapsed="false"/>
    <row r="2878" customFormat="false" ht="15.75" hidden="false" customHeight="true" outlineLevel="0" collapsed="false"/>
    <row r="2879" customFormat="false" ht="15.75" hidden="false" customHeight="true" outlineLevel="0" collapsed="false"/>
    <row r="2880" customFormat="false" ht="15.75" hidden="false" customHeight="true" outlineLevel="0" collapsed="false"/>
    <row r="2881" customFormat="false" ht="15.75" hidden="false" customHeight="true" outlineLevel="0" collapsed="false"/>
    <row r="2882" customFormat="false" ht="15.75" hidden="false" customHeight="true" outlineLevel="0" collapsed="false"/>
    <row r="2883" customFormat="false" ht="15.75" hidden="false" customHeight="true" outlineLevel="0" collapsed="false"/>
    <row r="2884" customFormat="false" ht="15.75" hidden="false" customHeight="true" outlineLevel="0" collapsed="false"/>
    <row r="2885" customFormat="false" ht="15.75" hidden="false" customHeight="true" outlineLevel="0" collapsed="false"/>
    <row r="2886" customFormat="false" ht="15.75" hidden="false" customHeight="true" outlineLevel="0" collapsed="false"/>
    <row r="2887" customFormat="false" ht="15.75" hidden="false" customHeight="true" outlineLevel="0" collapsed="false"/>
    <row r="2888" customFormat="false" ht="15.75" hidden="false" customHeight="true" outlineLevel="0" collapsed="false"/>
    <row r="2889" customFormat="false" ht="15.75" hidden="false" customHeight="true" outlineLevel="0" collapsed="false"/>
    <row r="2890" customFormat="false" ht="15.75" hidden="false" customHeight="true" outlineLevel="0" collapsed="false"/>
    <row r="2891" customFormat="false" ht="15.75" hidden="false" customHeight="true" outlineLevel="0" collapsed="false"/>
    <row r="2892" customFormat="false" ht="15.75" hidden="false" customHeight="true" outlineLevel="0" collapsed="false"/>
    <row r="2893" customFormat="false" ht="15.75" hidden="false" customHeight="true" outlineLevel="0" collapsed="false"/>
    <row r="2894" customFormat="false" ht="15.75" hidden="false" customHeight="true" outlineLevel="0" collapsed="false"/>
    <row r="2895" customFormat="false" ht="15.75" hidden="false" customHeight="true" outlineLevel="0" collapsed="false"/>
    <row r="2896" customFormat="false" ht="15.75" hidden="false" customHeight="true" outlineLevel="0" collapsed="false"/>
    <row r="2897" customFormat="false" ht="15.75" hidden="false" customHeight="true" outlineLevel="0" collapsed="false"/>
    <row r="2898" customFormat="false" ht="15.75" hidden="false" customHeight="true" outlineLevel="0" collapsed="false"/>
    <row r="2899" customFormat="false" ht="15.75" hidden="false" customHeight="true" outlineLevel="0" collapsed="false"/>
    <row r="2900" customFormat="false" ht="15.75" hidden="false" customHeight="true" outlineLevel="0" collapsed="false"/>
    <row r="2901" customFormat="false" ht="15.75" hidden="false" customHeight="true" outlineLevel="0" collapsed="false"/>
    <row r="2902" customFormat="false" ht="15.75" hidden="false" customHeight="true" outlineLevel="0" collapsed="false"/>
    <row r="2903" customFormat="false" ht="15.75" hidden="false" customHeight="true" outlineLevel="0" collapsed="false"/>
    <row r="2904" customFormat="false" ht="15.75" hidden="false" customHeight="true" outlineLevel="0" collapsed="false"/>
    <row r="2905" customFormat="false" ht="15.75" hidden="false" customHeight="true" outlineLevel="0" collapsed="false"/>
    <row r="2906" customFormat="false" ht="15.75" hidden="false" customHeight="true" outlineLevel="0" collapsed="false"/>
    <row r="2907" customFormat="false" ht="15.75" hidden="false" customHeight="true" outlineLevel="0" collapsed="false"/>
    <row r="2908" customFormat="false" ht="15.75" hidden="false" customHeight="true" outlineLevel="0" collapsed="false"/>
    <row r="2909" customFormat="false" ht="15.75" hidden="false" customHeight="true" outlineLevel="0" collapsed="false"/>
    <row r="2910" customFormat="false" ht="15.75" hidden="false" customHeight="true" outlineLevel="0" collapsed="false"/>
    <row r="2911" customFormat="false" ht="15.75" hidden="false" customHeight="true" outlineLevel="0" collapsed="false"/>
    <row r="2912" customFormat="false" ht="15.75" hidden="false" customHeight="true" outlineLevel="0" collapsed="false"/>
    <row r="2913" customFormat="false" ht="15.75" hidden="false" customHeight="true" outlineLevel="0" collapsed="false"/>
    <row r="2914" customFormat="false" ht="15.75" hidden="false" customHeight="true" outlineLevel="0" collapsed="false"/>
    <row r="2915" customFormat="false" ht="15.75" hidden="false" customHeight="true" outlineLevel="0" collapsed="false"/>
    <row r="2916" customFormat="false" ht="15.75" hidden="false" customHeight="true" outlineLevel="0" collapsed="false"/>
    <row r="2917" customFormat="false" ht="15.75" hidden="false" customHeight="true" outlineLevel="0" collapsed="false"/>
    <row r="2918" customFormat="false" ht="15.75" hidden="false" customHeight="true" outlineLevel="0" collapsed="false"/>
    <row r="2919" customFormat="false" ht="15.75" hidden="false" customHeight="true" outlineLevel="0" collapsed="false"/>
    <row r="2920" customFormat="false" ht="15.75" hidden="false" customHeight="true" outlineLevel="0" collapsed="false"/>
    <row r="2921" customFormat="false" ht="15.75" hidden="false" customHeight="true" outlineLevel="0" collapsed="false"/>
    <row r="2922" customFormat="false" ht="15.75" hidden="false" customHeight="true" outlineLevel="0" collapsed="false"/>
    <row r="2923" customFormat="false" ht="15.75" hidden="false" customHeight="true" outlineLevel="0" collapsed="false"/>
    <row r="2924" customFormat="false" ht="15.75" hidden="false" customHeight="true" outlineLevel="0" collapsed="false"/>
    <row r="2925" customFormat="false" ht="15.75" hidden="false" customHeight="true" outlineLevel="0" collapsed="false"/>
    <row r="2926" customFormat="false" ht="15.75" hidden="false" customHeight="true" outlineLevel="0" collapsed="false"/>
    <row r="2927" customFormat="false" ht="15.75" hidden="false" customHeight="true" outlineLevel="0" collapsed="false"/>
    <row r="2928" customFormat="false" ht="15.75" hidden="false" customHeight="true" outlineLevel="0" collapsed="false"/>
    <row r="2929" customFormat="false" ht="15.75" hidden="false" customHeight="true" outlineLevel="0" collapsed="false"/>
    <row r="2930" customFormat="false" ht="15.75" hidden="false" customHeight="true" outlineLevel="0" collapsed="false"/>
    <row r="2931" customFormat="false" ht="15.75" hidden="false" customHeight="true" outlineLevel="0" collapsed="false"/>
    <row r="2932" customFormat="false" ht="15.75" hidden="false" customHeight="true" outlineLevel="0" collapsed="false"/>
    <row r="2933" customFormat="false" ht="15.75" hidden="false" customHeight="true" outlineLevel="0" collapsed="false"/>
    <row r="2934" customFormat="false" ht="15.75" hidden="false" customHeight="true" outlineLevel="0" collapsed="false"/>
    <row r="2935" customFormat="false" ht="15.75" hidden="false" customHeight="true" outlineLevel="0" collapsed="false"/>
    <row r="2936" customFormat="false" ht="15.75" hidden="false" customHeight="true" outlineLevel="0" collapsed="false"/>
    <row r="2937" customFormat="false" ht="15.75" hidden="false" customHeight="true" outlineLevel="0" collapsed="false"/>
    <row r="2938" customFormat="false" ht="15.75" hidden="false" customHeight="true" outlineLevel="0" collapsed="false"/>
    <row r="2939" customFormat="false" ht="15.75" hidden="false" customHeight="true" outlineLevel="0" collapsed="false"/>
    <row r="2940" customFormat="false" ht="15.75" hidden="false" customHeight="true" outlineLevel="0" collapsed="false"/>
    <row r="2941" customFormat="false" ht="15.75" hidden="false" customHeight="true" outlineLevel="0" collapsed="false"/>
    <row r="2942" customFormat="false" ht="15.75" hidden="false" customHeight="true" outlineLevel="0" collapsed="false"/>
    <row r="2943" customFormat="false" ht="15.75" hidden="false" customHeight="true" outlineLevel="0" collapsed="false"/>
    <row r="2944" customFormat="false" ht="15.75" hidden="false" customHeight="true" outlineLevel="0" collapsed="false"/>
    <row r="2945" customFormat="false" ht="15.75" hidden="false" customHeight="true" outlineLevel="0" collapsed="false"/>
    <row r="2946" customFormat="false" ht="15.75" hidden="false" customHeight="true" outlineLevel="0" collapsed="false"/>
    <row r="2947" customFormat="false" ht="15.75" hidden="false" customHeight="true" outlineLevel="0" collapsed="false"/>
    <row r="2948" customFormat="false" ht="15.75" hidden="false" customHeight="true" outlineLevel="0" collapsed="false"/>
    <row r="2949" customFormat="false" ht="15.75" hidden="false" customHeight="true" outlineLevel="0" collapsed="false"/>
    <row r="2950" customFormat="false" ht="15.75" hidden="false" customHeight="true" outlineLevel="0" collapsed="false"/>
    <row r="2951" customFormat="false" ht="15.75" hidden="false" customHeight="true" outlineLevel="0" collapsed="false"/>
    <row r="2952" customFormat="false" ht="15.75" hidden="false" customHeight="true" outlineLevel="0" collapsed="false"/>
    <row r="2953" customFormat="false" ht="15.75" hidden="false" customHeight="true" outlineLevel="0" collapsed="false"/>
    <row r="2954" customFormat="false" ht="15.75" hidden="false" customHeight="true" outlineLevel="0" collapsed="false"/>
    <row r="2955" customFormat="false" ht="15.75" hidden="false" customHeight="true" outlineLevel="0" collapsed="false"/>
    <row r="2956" customFormat="false" ht="15.75" hidden="false" customHeight="true" outlineLevel="0" collapsed="false"/>
    <row r="2957" customFormat="false" ht="15.75" hidden="false" customHeight="true" outlineLevel="0" collapsed="false"/>
    <row r="2958" customFormat="false" ht="15.75" hidden="false" customHeight="true" outlineLevel="0" collapsed="false"/>
    <row r="2959" customFormat="false" ht="15.75" hidden="false" customHeight="true" outlineLevel="0" collapsed="false"/>
    <row r="2960" customFormat="false" ht="15.75" hidden="false" customHeight="true" outlineLevel="0" collapsed="false"/>
    <row r="2961" customFormat="false" ht="15.75" hidden="false" customHeight="true" outlineLevel="0" collapsed="false"/>
    <row r="2962" customFormat="false" ht="15.75" hidden="false" customHeight="true" outlineLevel="0" collapsed="false"/>
    <row r="2963" customFormat="false" ht="15.75" hidden="false" customHeight="true" outlineLevel="0" collapsed="false"/>
    <row r="2964" customFormat="false" ht="15.75" hidden="false" customHeight="true" outlineLevel="0" collapsed="false"/>
    <row r="2965" customFormat="false" ht="15.75" hidden="false" customHeight="true" outlineLevel="0" collapsed="false"/>
    <row r="2966" customFormat="false" ht="15.75" hidden="false" customHeight="true" outlineLevel="0" collapsed="false"/>
    <row r="2967" customFormat="false" ht="15.75" hidden="false" customHeight="true" outlineLevel="0" collapsed="false"/>
    <row r="2968" customFormat="false" ht="15.75" hidden="false" customHeight="true" outlineLevel="0" collapsed="false"/>
    <row r="2969" customFormat="false" ht="15.75" hidden="false" customHeight="true" outlineLevel="0" collapsed="false"/>
    <row r="2970" customFormat="false" ht="15.75" hidden="false" customHeight="true" outlineLevel="0" collapsed="false"/>
    <row r="2971" customFormat="false" ht="15.75" hidden="false" customHeight="true" outlineLevel="0" collapsed="false"/>
    <row r="2972" customFormat="false" ht="15.75" hidden="false" customHeight="true" outlineLevel="0" collapsed="false"/>
    <row r="2973" customFormat="false" ht="15.75" hidden="false" customHeight="true" outlineLevel="0" collapsed="false"/>
    <row r="2974" customFormat="false" ht="15.75" hidden="false" customHeight="true" outlineLevel="0" collapsed="false"/>
    <row r="2975" customFormat="false" ht="15.75" hidden="false" customHeight="true" outlineLevel="0" collapsed="false"/>
    <row r="2976" customFormat="false" ht="15.75" hidden="false" customHeight="true" outlineLevel="0" collapsed="false"/>
    <row r="2977" customFormat="false" ht="15.75" hidden="false" customHeight="true" outlineLevel="0" collapsed="false"/>
    <row r="2978" customFormat="false" ht="15.75" hidden="false" customHeight="true" outlineLevel="0" collapsed="false"/>
    <row r="2979" customFormat="false" ht="15.75" hidden="false" customHeight="true" outlineLevel="0" collapsed="false"/>
    <row r="2980" customFormat="false" ht="15.75" hidden="false" customHeight="true" outlineLevel="0" collapsed="false"/>
    <row r="2981" customFormat="false" ht="15.75" hidden="false" customHeight="true" outlineLevel="0" collapsed="false"/>
    <row r="2982" customFormat="false" ht="15.75" hidden="false" customHeight="true" outlineLevel="0" collapsed="false"/>
    <row r="2983" customFormat="false" ht="15.75" hidden="false" customHeight="true" outlineLevel="0" collapsed="false"/>
    <row r="2984" customFormat="false" ht="15.75" hidden="false" customHeight="true" outlineLevel="0" collapsed="false"/>
    <row r="2985" customFormat="false" ht="15.75" hidden="false" customHeight="true" outlineLevel="0" collapsed="false"/>
    <row r="2986" customFormat="false" ht="15.75" hidden="false" customHeight="true" outlineLevel="0" collapsed="false"/>
    <row r="2987" customFormat="false" ht="15.75" hidden="false" customHeight="true" outlineLevel="0" collapsed="false"/>
    <row r="2988" customFormat="false" ht="15.75" hidden="false" customHeight="true" outlineLevel="0" collapsed="false"/>
    <row r="2989" customFormat="false" ht="15.75" hidden="false" customHeight="true" outlineLevel="0" collapsed="false"/>
    <row r="2990" customFormat="false" ht="15.75" hidden="false" customHeight="true" outlineLevel="0" collapsed="false"/>
    <row r="2991" customFormat="false" ht="15.75" hidden="false" customHeight="true" outlineLevel="0" collapsed="false"/>
    <row r="2992" customFormat="false" ht="15.75" hidden="false" customHeight="true" outlineLevel="0" collapsed="false"/>
    <row r="2993" customFormat="false" ht="15.75" hidden="false" customHeight="true" outlineLevel="0" collapsed="false"/>
    <row r="2994" customFormat="false" ht="15.75" hidden="false" customHeight="true" outlineLevel="0" collapsed="false"/>
    <row r="2995" customFormat="false" ht="15.75" hidden="false" customHeight="true" outlineLevel="0" collapsed="false"/>
    <row r="2996" customFormat="false" ht="15.75" hidden="false" customHeight="true" outlineLevel="0" collapsed="false"/>
    <row r="2997" customFormat="false" ht="15.75" hidden="false" customHeight="true" outlineLevel="0" collapsed="false"/>
    <row r="2998" customFormat="false" ht="15.75" hidden="false" customHeight="true" outlineLevel="0" collapsed="false"/>
    <row r="2999" customFormat="false" ht="15.75" hidden="false" customHeight="true" outlineLevel="0" collapsed="false"/>
    <row r="3000" customFormat="false" ht="15.75" hidden="false" customHeight="true" outlineLevel="0" collapsed="false"/>
    <row r="3001" customFormat="false" ht="15.75" hidden="false" customHeight="true" outlineLevel="0" collapsed="false"/>
    <row r="3002" customFormat="false" ht="15.75" hidden="false" customHeight="true" outlineLevel="0" collapsed="false"/>
    <row r="3003" customFormat="false" ht="15.75" hidden="false" customHeight="true" outlineLevel="0" collapsed="false"/>
    <row r="3004" customFormat="false" ht="15.75" hidden="false" customHeight="true" outlineLevel="0" collapsed="false"/>
    <row r="3005" customFormat="false" ht="15.75" hidden="false" customHeight="true" outlineLevel="0" collapsed="false"/>
    <row r="3006" customFormat="false" ht="15.75" hidden="false" customHeight="true" outlineLevel="0" collapsed="false"/>
    <row r="3007" customFormat="false" ht="15.75" hidden="false" customHeight="true" outlineLevel="0" collapsed="false"/>
    <row r="3008" customFormat="false" ht="15.75" hidden="false" customHeight="true" outlineLevel="0" collapsed="false"/>
    <row r="3009" customFormat="false" ht="15.75" hidden="false" customHeight="true" outlineLevel="0" collapsed="false"/>
    <row r="3010" customFormat="false" ht="15.75" hidden="false" customHeight="true" outlineLevel="0" collapsed="false"/>
    <row r="3011" customFormat="false" ht="15.75" hidden="false" customHeight="true" outlineLevel="0" collapsed="false"/>
    <row r="3012" customFormat="false" ht="15.75" hidden="false" customHeight="true" outlineLevel="0" collapsed="false"/>
    <row r="3013" customFormat="false" ht="15.75" hidden="false" customHeight="true" outlineLevel="0" collapsed="false"/>
    <row r="3014" customFormat="false" ht="15.75" hidden="false" customHeight="true" outlineLevel="0" collapsed="false"/>
    <row r="3015" customFormat="false" ht="15.75" hidden="false" customHeight="true" outlineLevel="0" collapsed="false"/>
    <row r="3016" customFormat="false" ht="15.75" hidden="false" customHeight="true" outlineLevel="0" collapsed="false"/>
    <row r="3017" customFormat="false" ht="15.75" hidden="false" customHeight="true" outlineLevel="0" collapsed="false"/>
    <row r="3018" customFormat="false" ht="15.75" hidden="false" customHeight="true" outlineLevel="0" collapsed="false"/>
    <row r="3019" customFormat="false" ht="15.75" hidden="false" customHeight="true" outlineLevel="0" collapsed="false"/>
    <row r="3020" customFormat="false" ht="15.75" hidden="false" customHeight="true" outlineLevel="0" collapsed="false"/>
    <row r="3021" customFormat="false" ht="15.75" hidden="false" customHeight="true" outlineLevel="0" collapsed="false"/>
    <row r="3022" customFormat="false" ht="15.75" hidden="false" customHeight="true" outlineLevel="0" collapsed="false"/>
    <row r="3023" customFormat="false" ht="15.75" hidden="false" customHeight="true" outlineLevel="0" collapsed="false"/>
    <row r="3024" customFormat="false" ht="15.75" hidden="false" customHeight="true" outlineLevel="0" collapsed="false"/>
    <row r="3025" customFormat="false" ht="15.75" hidden="false" customHeight="true" outlineLevel="0" collapsed="false"/>
    <row r="3026" customFormat="false" ht="15.75" hidden="false" customHeight="true" outlineLevel="0" collapsed="false"/>
    <row r="3027" customFormat="false" ht="15.75" hidden="false" customHeight="true" outlineLevel="0" collapsed="false"/>
    <row r="3028" customFormat="false" ht="15.75" hidden="false" customHeight="true" outlineLevel="0" collapsed="false"/>
    <row r="3029" customFormat="false" ht="15.75" hidden="false" customHeight="true" outlineLevel="0" collapsed="false"/>
    <row r="3030" customFormat="false" ht="15.75" hidden="false" customHeight="true" outlineLevel="0" collapsed="false"/>
    <row r="3031" customFormat="false" ht="15.75" hidden="false" customHeight="true" outlineLevel="0" collapsed="false"/>
    <row r="3032" customFormat="false" ht="15.75" hidden="false" customHeight="true" outlineLevel="0" collapsed="false"/>
    <row r="3033" customFormat="false" ht="15.75" hidden="false" customHeight="true" outlineLevel="0" collapsed="false"/>
    <row r="3034" customFormat="false" ht="15.75" hidden="false" customHeight="true" outlineLevel="0" collapsed="false"/>
    <row r="3035" customFormat="false" ht="15.75" hidden="false" customHeight="true" outlineLevel="0" collapsed="false"/>
    <row r="3036" customFormat="false" ht="15.75" hidden="false" customHeight="true" outlineLevel="0" collapsed="false"/>
    <row r="3037" customFormat="false" ht="15.75" hidden="false" customHeight="true" outlineLevel="0" collapsed="false"/>
    <row r="3038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2.5703125" defaultRowHeight="15" zeroHeight="false" outlineLevelRow="0" outlineLevelCol="0"/>
  <cols>
    <col collapsed="false" customWidth="true" hidden="false" outlineLevel="0" max="1" min="1" style="0" width="18.57"/>
    <col collapsed="false" customWidth="true" hidden="false" outlineLevel="0" max="2" min="2" style="0" width="24.42"/>
    <col collapsed="false" customWidth="true" hidden="false" outlineLevel="0" max="3" min="3" style="0" width="9.29"/>
    <col collapsed="false" customWidth="true" hidden="false" outlineLevel="0" max="6" min="6" style="0" width="11.57"/>
    <col collapsed="false" customWidth="true" hidden="false" outlineLevel="0" max="7" min="7" style="0" width="16.43"/>
    <col collapsed="false" customWidth="true" hidden="false" outlineLevel="0" max="8" min="8" style="0" width="27.42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25" t="s">
        <v>118</v>
      </c>
      <c r="B1" s="25" t="s">
        <v>119</v>
      </c>
      <c r="C1" s="26" t="s">
        <v>1</v>
      </c>
      <c r="D1" s="25" t="s">
        <v>120</v>
      </c>
      <c r="E1" s="25" t="s">
        <v>121</v>
      </c>
      <c r="F1" s="25" t="s">
        <v>122</v>
      </c>
      <c r="G1" s="25" t="s">
        <v>123</v>
      </c>
      <c r="H1" s="25" t="s">
        <v>124</v>
      </c>
      <c r="I1" s="25" t="s">
        <v>125</v>
      </c>
    </row>
    <row r="2" customFormat="false" ht="15" hidden="false" customHeight="false" outlineLevel="0" collapsed="false">
      <c r="A2" s="27" t="s">
        <v>14</v>
      </c>
      <c r="B2" s="27" t="s">
        <v>126</v>
      </c>
      <c r="C2" s="27" t="n">
        <v>41606145</v>
      </c>
      <c r="D2" s="28" t="n">
        <v>0.333333333333333</v>
      </c>
      <c r="E2" s="28" t="n">
        <v>0.5</v>
      </c>
      <c r="F2" s="27" t="s">
        <v>127</v>
      </c>
      <c r="G2" s="27" t="s">
        <v>128</v>
      </c>
      <c r="H2" s="27" t="s">
        <v>13</v>
      </c>
      <c r="I2" s="29" t="s">
        <v>93</v>
      </c>
    </row>
    <row r="3" customFormat="false" ht="15" hidden="false" customHeight="false" outlineLevel="0" collapsed="false">
      <c r="A3" s="27" t="s">
        <v>14</v>
      </c>
      <c r="B3" s="27" t="s">
        <v>129</v>
      </c>
      <c r="C3" s="27" t="n">
        <v>20941212</v>
      </c>
      <c r="D3" s="28" t="n">
        <v>0.375</v>
      </c>
      <c r="E3" s="28" t="n">
        <v>0.666666666666667</v>
      </c>
      <c r="F3" s="27" t="s">
        <v>127</v>
      </c>
      <c r="G3" s="27" t="s">
        <v>128</v>
      </c>
      <c r="H3" s="27" t="s">
        <v>16</v>
      </c>
      <c r="I3" s="29" t="s">
        <v>130</v>
      </c>
    </row>
    <row r="4" customFormat="false" ht="15" hidden="false" customHeight="false" outlineLevel="0" collapsed="false">
      <c r="A4" s="27" t="s">
        <v>14</v>
      </c>
      <c r="B4" s="27" t="s">
        <v>131</v>
      </c>
      <c r="C4" s="27" t="n">
        <v>27737639</v>
      </c>
      <c r="D4" s="28" t="n">
        <v>0.333333333333333</v>
      </c>
      <c r="E4" s="28" t="n">
        <v>0.5</v>
      </c>
      <c r="F4" s="27" t="s">
        <v>127</v>
      </c>
      <c r="G4" s="27" t="s">
        <v>128</v>
      </c>
      <c r="H4" s="27" t="s">
        <v>17</v>
      </c>
      <c r="I4" s="29" t="s">
        <v>132</v>
      </c>
    </row>
    <row r="5" customFormat="false" ht="15" hidden="false" customHeight="false" outlineLevel="0" collapsed="false">
      <c r="A5" s="30" t="s">
        <v>75</v>
      </c>
      <c r="B5" s="30" t="s">
        <v>131</v>
      </c>
      <c r="C5" s="30" t="n">
        <v>27737639</v>
      </c>
      <c r="D5" s="31" t="n">
        <v>0.333333333333333</v>
      </c>
      <c r="E5" s="31" t="n">
        <v>0.5</v>
      </c>
      <c r="F5" s="30" t="s">
        <v>133</v>
      </c>
      <c r="G5" s="30" t="s">
        <v>128</v>
      </c>
      <c r="H5" s="30" t="s">
        <v>17</v>
      </c>
      <c r="I5" s="29" t="s">
        <v>93</v>
      </c>
    </row>
    <row r="6" customFormat="false" ht="15" hidden="false" customHeight="false" outlineLevel="0" collapsed="false">
      <c r="A6" s="27" t="s">
        <v>75</v>
      </c>
      <c r="B6" s="27" t="s">
        <v>134</v>
      </c>
      <c r="C6" s="27" t="n">
        <v>42361581</v>
      </c>
      <c r="D6" s="28" t="n">
        <v>0.375</v>
      </c>
      <c r="E6" s="28" t="n">
        <v>0.666666666666667</v>
      </c>
      <c r="F6" s="27" t="s">
        <v>133</v>
      </c>
      <c r="G6" s="27" t="s">
        <v>128</v>
      </c>
      <c r="H6" s="27" t="s">
        <v>16</v>
      </c>
      <c r="I6" s="29" t="s">
        <v>130</v>
      </c>
    </row>
    <row r="7" customFormat="false" ht="15" hidden="false" customHeight="false" outlineLevel="0" collapsed="false">
      <c r="A7" s="27" t="s">
        <v>75</v>
      </c>
      <c r="B7" s="27" t="s">
        <v>135</v>
      </c>
      <c r="C7" s="27" t="n">
        <v>45199247</v>
      </c>
      <c r="D7" s="28" t="n">
        <v>0.333333333333333</v>
      </c>
      <c r="E7" s="28" t="n">
        <v>0.5</v>
      </c>
      <c r="F7" s="27" t="s">
        <v>133</v>
      </c>
      <c r="G7" s="27" t="s">
        <v>128</v>
      </c>
      <c r="H7" s="27" t="s">
        <v>13</v>
      </c>
      <c r="I7" s="29" t="s">
        <v>132</v>
      </c>
    </row>
    <row r="8" customFormat="false" ht="15" hidden="false" customHeight="false" outlineLevel="0" collapsed="false">
      <c r="A8" s="27" t="s">
        <v>136</v>
      </c>
      <c r="B8" s="27" t="s">
        <v>137</v>
      </c>
      <c r="C8" s="27" t="n">
        <v>47824462</v>
      </c>
      <c r="D8" s="28" t="n">
        <v>0.333333333333333</v>
      </c>
      <c r="E8" s="28" t="n">
        <v>0.5</v>
      </c>
      <c r="F8" s="27" t="s">
        <v>138</v>
      </c>
      <c r="G8" s="27" t="s">
        <v>128</v>
      </c>
      <c r="H8" s="27" t="s">
        <v>13</v>
      </c>
      <c r="I8" s="29" t="s">
        <v>93</v>
      </c>
    </row>
    <row r="9" customFormat="false" ht="15" hidden="false" customHeight="false" outlineLevel="0" collapsed="false">
      <c r="A9" s="27" t="s">
        <v>136</v>
      </c>
      <c r="B9" s="27" t="s">
        <v>139</v>
      </c>
      <c r="C9" s="27" t="n">
        <v>22206635</v>
      </c>
      <c r="D9" s="28" t="n">
        <v>0.375</v>
      </c>
      <c r="E9" s="28" t="n">
        <v>0.666666666666667</v>
      </c>
      <c r="F9" s="27" t="s">
        <v>138</v>
      </c>
      <c r="G9" s="27" t="s">
        <v>128</v>
      </c>
      <c r="H9" s="27" t="s">
        <v>17</v>
      </c>
      <c r="I9" s="29" t="s">
        <v>130</v>
      </c>
    </row>
    <row r="10" customFormat="false" ht="15" hidden="false" customHeight="false" outlineLevel="0" collapsed="false">
      <c r="A10" s="27" t="s">
        <v>136</v>
      </c>
      <c r="B10" s="27" t="s">
        <v>140</v>
      </c>
      <c r="C10" s="27" t="n">
        <v>21615461</v>
      </c>
      <c r="D10" s="28" t="n">
        <v>0.333333333333333</v>
      </c>
      <c r="E10" s="28" t="n">
        <v>0.5</v>
      </c>
      <c r="F10" s="27" t="s">
        <v>138</v>
      </c>
      <c r="G10" s="27" t="s">
        <v>128</v>
      </c>
      <c r="H10" s="27" t="s">
        <v>16</v>
      </c>
      <c r="I10" s="29" t="s">
        <v>141</v>
      </c>
    </row>
    <row r="11" customFormat="false" ht="15" hidden="false" customHeight="false" outlineLevel="0" collapsed="false">
      <c r="A11" s="27" t="s">
        <v>142</v>
      </c>
      <c r="B11" s="27" t="s">
        <v>143</v>
      </c>
      <c r="C11" s="27" t="n">
        <v>20326241</v>
      </c>
      <c r="D11" s="28" t="n">
        <v>0.333333333333333</v>
      </c>
      <c r="E11" s="28" t="n">
        <v>0.5</v>
      </c>
      <c r="F11" s="27" t="s">
        <v>144</v>
      </c>
      <c r="G11" s="27" t="s">
        <v>128</v>
      </c>
      <c r="H11" s="27" t="s">
        <v>16</v>
      </c>
      <c r="I11" s="29" t="s">
        <v>93</v>
      </c>
    </row>
    <row r="12" customFormat="false" ht="15" hidden="false" customHeight="false" outlineLevel="0" collapsed="false">
      <c r="A12" s="30" t="s">
        <v>142</v>
      </c>
      <c r="B12" s="30" t="s">
        <v>145</v>
      </c>
      <c r="C12" s="30" t="n">
        <v>33175832</v>
      </c>
      <c r="D12" s="31" t="n">
        <v>0.375</v>
      </c>
      <c r="E12" s="31" t="n">
        <v>0.541666666666667</v>
      </c>
      <c r="F12" s="30" t="s">
        <v>144</v>
      </c>
      <c r="G12" s="30" t="s">
        <v>128</v>
      </c>
      <c r="H12" s="30" t="s">
        <v>13</v>
      </c>
      <c r="I12" s="29" t="s">
        <v>130</v>
      </c>
    </row>
    <row r="13" customFormat="false" ht="15" hidden="false" customHeight="false" outlineLevel="0" collapsed="false">
      <c r="A13" s="27" t="s">
        <v>142</v>
      </c>
      <c r="B13" s="27" t="s">
        <v>146</v>
      </c>
      <c r="C13" s="27" t="n">
        <v>29658496</v>
      </c>
      <c r="D13" s="28" t="n">
        <v>0.333333333333333</v>
      </c>
      <c r="E13" s="28" t="n">
        <v>0.5</v>
      </c>
      <c r="F13" s="27" t="s">
        <v>144</v>
      </c>
      <c r="G13" s="27" t="s">
        <v>128</v>
      </c>
      <c r="H13" s="27" t="s">
        <v>17</v>
      </c>
      <c r="I13" s="29" t="s">
        <v>141</v>
      </c>
    </row>
    <row r="14" customFormat="false" ht="15" hidden="false" customHeight="false" outlineLevel="0" collapsed="false">
      <c r="A14" s="27" t="s">
        <v>147</v>
      </c>
      <c r="B14" s="27" t="s">
        <v>148</v>
      </c>
      <c r="C14" s="27" t="n">
        <v>42734416</v>
      </c>
      <c r="D14" s="28" t="n">
        <v>0.333333333333333</v>
      </c>
      <c r="E14" s="28" t="n">
        <v>0.5</v>
      </c>
      <c r="F14" s="27" t="s">
        <v>149</v>
      </c>
      <c r="G14" s="27" t="s">
        <v>128</v>
      </c>
      <c r="H14" s="27" t="s">
        <v>13</v>
      </c>
      <c r="I14" s="29" t="s">
        <v>93</v>
      </c>
    </row>
    <row r="15" customFormat="false" ht="15" hidden="false" customHeight="false" outlineLevel="0" collapsed="false">
      <c r="A15" s="27" t="s">
        <v>147</v>
      </c>
      <c r="B15" s="27" t="s">
        <v>150</v>
      </c>
      <c r="C15" s="27" t="n">
        <v>40872222</v>
      </c>
      <c r="D15" s="28" t="n">
        <v>0.375</v>
      </c>
      <c r="E15" s="28" t="n">
        <v>0.541666666666667</v>
      </c>
      <c r="F15" s="27" t="s">
        <v>149</v>
      </c>
      <c r="G15" s="27" t="s">
        <v>128</v>
      </c>
      <c r="H15" s="27" t="s">
        <v>17</v>
      </c>
      <c r="I15" s="29" t="s">
        <v>130</v>
      </c>
    </row>
    <row r="16" customFormat="false" ht="15" hidden="false" customHeight="false" outlineLevel="0" collapsed="false">
      <c r="A16" s="27" t="s">
        <v>147</v>
      </c>
      <c r="B16" s="27" t="s">
        <v>151</v>
      </c>
      <c r="C16" s="27" t="n">
        <v>27255535</v>
      </c>
      <c r="D16" s="28" t="n">
        <v>0.333333333333333</v>
      </c>
      <c r="E16" s="28" t="n">
        <v>0.5</v>
      </c>
      <c r="F16" s="27" t="s">
        <v>149</v>
      </c>
      <c r="G16" s="27" t="s">
        <v>128</v>
      </c>
      <c r="H16" s="27" t="s">
        <v>16</v>
      </c>
      <c r="I16" s="29" t="s">
        <v>141</v>
      </c>
    </row>
    <row r="17" customFormat="false" ht="15" hidden="false" customHeight="false" outlineLevel="0" collapsed="false">
      <c r="A17" s="27" t="s">
        <v>152</v>
      </c>
      <c r="B17" s="27" t="s">
        <v>151</v>
      </c>
      <c r="C17" s="27" t="n">
        <v>27255535</v>
      </c>
      <c r="D17" s="28" t="n">
        <v>0.333333333333333</v>
      </c>
      <c r="E17" s="28" t="n">
        <v>0.5</v>
      </c>
      <c r="F17" s="27" t="s">
        <v>153</v>
      </c>
      <c r="G17" s="27" t="s">
        <v>128</v>
      </c>
      <c r="H17" s="27" t="s">
        <v>16</v>
      </c>
      <c r="I17" s="29" t="s">
        <v>93</v>
      </c>
    </row>
    <row r="18" customFormat="false" ht="15" hidden="false" customHeight="false" outlineLevel="0" collapsed="false">
      <c r="A18" s="27" t="s">
        <v>152</v>
      </c>
      <c r="B18" s="27" t="s">
        <v>154</v>
      </c>
      <c r="C18" s="27" t="n">
        <v>30202642</v>
      </c>
      <c r="D18" s="28" t="n">
        <v>0.375</v>
      </c>
      <c r="E18" s="28" t="n">
        <v>0.541666666666667</v>
      </c>
      <c r="F18" s="27" t="s">
        <v>153</v>
      </c>
      <c r="G18" s="27" t="s">
        <v>128</v>
      </c>
      <c r="H18" s="27" t="s">
        <v>17</v>
      </c>
      <c r="I18" s="29" t="s">
        <v>130</v>
      </c>
    </row>
    <row r="19" customFormat="false" ht="15" hidden="false" customHeight="false" outlineLevel="0" collapsed="false">
      <c r="A19" s="27" t="s">
        <v>152</v>
      </c>
      <c r="B19" s="27" t="s">
        <v>137</v>
      </c>
      <c r="C19" s="27" t="n">
        <v>47824462</v>
      </c>
      <c r="D19" s="28" t="n">
        <v>0.333333333333333</v>
      </c>
      <c r="E19" s="28" t="n">
        <v>0.5</v>
      </c>
      <c r="F19" s="27" t="s">
        <v>153</v>
      </c>
      <c r="G19" s="27" t="s">
        <v>128</v>
      </c>
      <c r="H19" s="27" t="s">
        <v>13</v>
      </c>
      <c r="I19" s="29" t="s">
        <v>141</v>
      </c>
    </row>
    <row r="20" customFormat="false" ht="15" hidden="false" customHeight="false" outlineLevel="0" collapsed="false">
      <c r="A20" s="27" t="s">
        <v>155</v>
      </c>
      <c r="B20" s="27" t="s">
        <v>156</v>
      </c>
      <c r="C20" s="27" t="n">
        <v>45932923</v>
      </c>
      <c r="D20" s="28" t="n">
        <v>0.333333333333333</v>
      </c>
      <c r="E20" s="28" t="n">
        <v>0.5</v>
      </c>
      <c r="F20" s="27" t="s">
        <v>157</v>
      </c>
      <c r="G20" s="27" t="s">
        <v>128</v>
      </c>
      <c r="H20" s="27" t="s">
        <v>16</v>
      </c>
      <c r="I20" s="29" t="s">
        <v>93</v>
      </c>
    </row>
    <row r="21" customFormat="false" ht="15" hidden="false" customHeight="false" outlineLevel="0" collapsed="false">
      <c r="A21" s="27" t="s">
        <v>155</v>
      </c>
      <c r="B21" s="27" t="s">
        <v>158</v>
      </c>
      <c r="C21" s="27" t="n">
        <v>44205084</v>
      </c>
      <c r="D21" s="28" t="n">
        <v>0.375</v>
      </c>
      <c r="E21" s="28" t="n">
        <v>0.541666666666667</v>
      </c>
      <c r="F21" s="27" t="s">
        <v>157</v>
      </c>
      <c r="G21" s="27" t="s">
        <v>128</v>
      </c>
      <c r="H21" s="27" t="s">
        <v>13</v>
      </c>
      <c r="I21" s="29" t="s">
        <v>130</v>
      </c>
    </row>
    <row r="22" customFormat="false" ht="15" hidden="false" customHeight="false" outlineLevel="0" collapsed="false">
      <c r="A22" s="27" t="s">
        <v>155</v>
      </c>
      <c r="B22" s="27" t="s">
        <v>159</v>
      </c>
      <c r="C22" s="27" t="n">
        <v>20409525</v>
      </c>
      <c r="D22" s="28" t="n">
        <v>0.333333333333333</v>
      </c>
      <c r="E22" s="28" t="n">
        <v>0.5</v>
      </c>
      <c r="F22" s="27" t="s">
        <v>157</v>
      </c>
      <c r="G22" s="27" t="s">
        <v>128</v>
      </c>
      <c r="H22" s="27" t="s">
        <v>17</v>
      </c>
      <c r="I22" s="29" t="s">
        <v>141</v>
      </c>
    </row>
    <row r="23" customFormat="false" ht="15" hidden="false" customHeight="false" outlineLevel="0" collapsed="false">
      <c r="A23" s="27" t="s">
        <v>160</v>
      </c>
      <c r="B23" s="27" t="s">
        <v>159</v>
      </c>
      <c r="C23" s="27" t="n">
        <v>20409525</v>
      </c>
      <c r="D23" s="28" t="n">
        <v>0.333333333333333</v>
      </c>
      <c r="E23" s="28" t="n">
        <v>0.5</v>
      </c>
      <c r="F23" s="27" t="s">
        <v>161</v>
      </c>
      <c r="G23" s="27" t="s">
        <v>128</v>
      </c>
      <c r="H23" s="27" t="s">
        <v>17</v>
      </c>
      <c r="I23" s="29" t="s">
        <v>93</v>
      </c>
    </row>
    <row r="24" customFormat="false" ht="15" hidden="false" customHeight="false" outlineLevel="0" collapsed="false">
      <c r="A24" s="27" t="s">
        <v>160</v>
      </c>
      <c r="B24" s="27" t="s">
        <v>162</v>
      </c>
      <c r="C24" s="27" t="n">
        <v>26820389</v>
      </c>
      <c r="D24" s="28" t="n">
        <v>0.375</v>
      </c>
      <c r="E24" s="28" t="n">
        <v>0.541666666666667</v>
      </c>
      <c r="F24" s="27" t="s">
        <v>161</v>
      </c>
      <c r="G24" s="27" t="s">
        <v>128</v>
      </c>
      <c r="H24" s="27" t="s">
        <v>16</v>
      </c>
      <c r="I24" s="29" t="s">
        <v>130</v>
      </c>
    </row>
    <row r="25" customFormat="false" ht="15" hidden="false" customHeight="false" outlineLevel="0" collapsed="false">
      <c r="A25" s="27" t="s">
        <v>160</v>
      </c>
      <c r="B25" s="27" t="s">
        <v>163</v>
      </c>
      <c r="C25" s="27" t="n">
        <v>43153543</v>
      </c>
      <c r="D25" s="28" t="n">
        <v>0.333333333333333</v>
      </c>
      <c r="E25" s="28" t="n">
        <v>0.5</v>
      </c>
      <c r="F25" s="27" t="s">
        <v>161</v>
      </c>
      <c r="G25" s="27" t="s">
        <v>128</v>
      </c>
      <c r="H25" s="27" t="s">
        <v>13</v>
      </c>
      <c r="I25" s="29" t="s">
        <v>141</v>
      </c>
    </row>
    <row r="26" customFormat="false" ht="15" hidden="false" customHeight="false" outlineLevel="0" collapsed="false">
      <c r="A26" s="27" t="s">
        <v>164</v>
      </c>
      <c r="B26" s="27" t="s">
        <v>165</v>
      </c>
      <c r="C26" s="27" t="n">
        <v>39427285</v>
      </c>
      <c r="D26" s="28" t="n">
        <v>0.333333333333333</v>
      </c>
      <c r="E26" s="28" t="n">
        <v>0.5</v>
      </c>
      <c r="F26" s="27" t="s">
        <v>166</v>
      </c>
      <c r="G26" s="27" t="s">
        <v>128</v>
      </c>
      <c r="H26" s="27" t="s">
        <v>16</v>
      </c>
      <c r="I26" s="29" t="s">
        <v>93</v>
      </c>
    </row>
    <row r="27" customFormat="false" ht="15" hidden="false" customHeight="false" outlineLevel="0" collapsed="false">
      <c r="A27" s="27" t="s">
        <v>164</v>
      </c>
      <c r="B27" s="27" t="s">
        <v>167</v>
      </c>
      <c r="C27" s="27" t="n">
        <v>23976787</v>
      </c>
      <c r="D27" s="28" t="n">
        <v>0.375</v>
      </c>
      <c r="E27" s="28" t="n">
        <v>0.541666666666667</v>
      </c>
      <c r="F27" s="27" t="s">
        <v>166</v>
      </c>
      <c r="G27" s="27" t="s">
        <v>128</v>
      </c>
      <c r="H27" s="27" t="s">
        <v>17</v>
      </c>
      <c r="I27" s="29" t="s">
        <v>130</v>
      </c>
    </row>
    <row r="28" customFormat="false" ht="15" hidden="false" customHeight="false" outlineLevel="0" collapsed="false">
      <c r="A28" s="27" t="s">
        <v>164</v>
      </c>
      <c r="B28" s="27" t="s">
        <v>168</v>
      </c>
      <c r="C28" s="27" t="n">
        <v>20100804</v>
      </c>
      <c r="D28" s="28" t="n">
        <v>0.333333333333333</v>
      </c>
      <c r="E28" s="28" t="n">
        <v>0.5</v>
      </c>
      <c r="F28" s="27" t="s">
        <v>166</v>
      </c>
      <c r="G28" s="27" t="s">
        <v>128</v>
      </c>
      <c r="H28" s="27" t="s">
        <v>13</v>
      </c>
      <c r="I28" s="29" t="s">
        <v>141</v>
      </c>
    </row>
    <row r="29" customFormat="false" ht="15" hidden="false" customHeight="false" outlineLevel="0" collapsed="false">
      <c r="A29" s="27" t="s">
        <v>169</v>
      </c>
      <c r="B29" s="27" t="s">
        <v>170</v>
      </c>
      <c r="C29" s="27" t="n">
        <v>29309145</v>
      </c>
      <c r="D29" s="28" t="n">
        <v>0.333333333333333</v>
      </c>
      <c r="E29" s="28" t="n">
        <v>0.5</v>
      </c>
      <c r="F29" s="27" t="s">
        <v>171</v>
      </c>
      <c r="G29" s="27" t="s">
        <v>128</v>
      </c>
      <c r="H29" s="27" t="s">
        <v>13</v>
      </c>
      <c r="I29" s="29" t="s">
        <v>93</v>
      </c>
    </row>
    <row r="30" customFormat="false" ht="15" hidden="false" customHeight="false" outlineLevel="0" collapsed="false">
      <c r="A30" s="27" t="s">
        <v>169</v>
      </c>
      <c r="B30" s="27" t="s">
        <v>172</v>
      </c>
      <c r="C30" s="27" t="n">
        <v>31683982</v>
      </c>
      <c r="D30" s="28" t="n">
        <v>0.375</v>
      </c>
      <c r="E30" s="28" t="n">
        <v>0.541666666666667</v>
      </c>
      <c r="F30" s="27" t="s">
        <v>171</v>
      </c>
      <c r="G30" s="27" t="s">
        <v>128</v>
      </c>
      <c r="H30" s="27" t="s">
        <v>17</v>
      </c>
      <c r="I30" s="29" t="s">
        <v>130</v>
      </c>
    </row>
    <row r="31" customFormat="false" ht="15" hidden="false" customHeight="false" outlineLevel="0" collapsed="false">
      <c r="A31" s="27" t="s">
        <v>169</v>
      </c>
      <c r="B31" s="27" t="s">
        <v>156</v>
      </c>
      <c r="C31" s="27" t="n">
        <v>45932923</v>
      </c>
      <c r="D31" s="28" t="n">
        <v>0.333333333333333</v>
      </c>
      <c r="E31" s="28" t="n">
        <v>0.5</v>
      </c>
      <c r="F31" s="27" t="s">
        <v>171</v>
      </c>
      <c r="G31" s="27" t="s">
        <v>128</v>
      </c>
      <c r="H31" s="27" t="s">
        <v>16</v>
      </c>
      <c r="I31" s="29" t="s">
        <v>141</v>
      </c>
    </row>
    <row r="32" customFormat="false" ht="15" hidden="false" customHeight="false" outlineLevel="0" collapsed="false">
      <c r="A32" s="27" t="s">
        <v>173</v>
      </c>
      <c r="B32" s="27" t="s">
        <v>174</v>
      </c>
      <c r="C32" s="27" t="n">
        <v>24229754</v>
      </c>
      <c r="D32" s="28" t="n">
        <v>0.333333333333333</v>
      </c>
      <c r="E32" s="28" t="n">
        <v>0.5</v>
      </c>
      <c r="F32" s="27" t="s">
        <v>175</v>
      </c>
      <c r="G32" s="27" t="s">
        <v>128</v>
      </c>
      <c r="H32" s="27" t="s">
        <v>17</v>
      </c>
      <c r="I32" s="29" t="s">
        <v>93</v>
      </c>
    </row>
    <row r="33" customFormat="false" ht="15" hidden="false" customHeight="false" outlineLevel="0" collapsed="false">
      <c r="A33" s="27" t="s">
        <v>173</v>
      </c>
      <c r="B33" s="27" t="s">
        <v>176</v>
      </c>
      <c r="C33" s="27" t="n">
        <v>21054707</v>
      </c>
      <c r="D33" s="28" t="n">
        <v>0.375</v>
      </c>
      <c r="E33" s="28" t="n">
        <v>0.541666666666667</v>
      </c>
      <c r="F33" s="27" t="s">
        <v>175</v>
      </c>
      <c r="G33" s="27" t="s">
        <v>128</v>
      </c>
      <c r="H33" s="27" t="s">
        <v>16</v>
      </c>
      <c r="I33" s="29" t="s">
        <v>130</v>
      </c>
    </row>
    <row r="34" customFormat="false" ht="15" hidden="false" customHeight="false" outlineLevel="0" collapsed="false">
      <c r="A34" s="27" t="s">
        <v>173</v>
      </c>
      <c r="B34" s="27" t="s">
        <v>170</v>
      </c>
      <c r="C34" s="27" t="n">
        <v>29309145</v>
      </c>
      <c r="D34" s="28" t="n">
        <v>0.333333333333333</v>
      </c>
      <c r="E34" s="28" t="n">
        <v>0.5</v>
      </c>
      <c r="F34" s="27" t="s">
        <v>175</v>
      </c>
      <c r="G34" s="27" t="s">
        <v>128</v>
      </c>
      <c r="H34" s="27" t="s">
        <v>13</v>
      </c>
      <c r="I34" s="29" t="s">
        <v>141</v>
      </c>
    </row>
    <row r="35" customFormat="false" ht="15" hidden="false" customHeight="false" outlineLevel="0" collapsed="false">
      <c r="A35" s="27" t="s">
        <v>177</v>
      </c>
      <c r="B35" s="27" t="s">
        <v>178</v>
      </c>
      <c r="C35" s="27" t="n">
        <v>49470417</v>
      </c>
      <c r="D35" s="28" t="n">
        <v>0.333333333333333</v>
      </c>
      <c r="E35" s="28" t="n">
        <v>0.5</v>
      </c>
      <c r="F35" s="27" t="s">
        <v>179</v>
      </c>
      <c r="G35" s="27" t="s">
        <v>128</v>
      </c>
      <c r="H35" s="27" t="s">
        <v>13</v>
      </c>
      <c r="I35" s="29" t="s">
        <v>93</v>
      </c>
    </row>
    <row r="36" customFormat="false" ht="15" hidden="false" customHeight="false" outlineLevel="0" collapsed="false">
      <c r="A36" s="27" t="s">
        <v>177</v>
      </c>
      <c r="B36" s="27" t="s">
        <v>180</v>
      </c>
      <c r="C36" s="27" t="n">
        <v>27197860</v>
      </c>
      <c r="D36" s="28" t="n">
        <v>0.375</v>
      </c>
      <c r="E36" s="28" t="n">
        <v>0.541666666666667</v>
      </c>
      <c r="F36" s="27" t="s">
        <v>179</v>
      </c>
      <c r="G36" s="27" t="s">
        <v>128</v>
      </c>
      <c r="H36" s="27" t="s">
        <v>17</v>
      </c>
      <c r="I36" s="29" t="s">
        <v>130</v>
      </c>
    </row>
    <row r="37" customFormat="false" ht="15" hidden="false" customHeight="false" outlineLevel="0" collapsed="false">
      <c r="A37" s="27" t="s">
        <v>177</v>
      </c>
      <c r="B37" s="27" t="s">
        <v>165</v>
      </c>
      <c r="C37" s="27" t="n">
        <v>39427285</v>
      </c>
      <c r="D37" s="28" t="n">
        <v>0.333333333333333</v>
      </c>
      <c r="E37" s="28" t="n">
        <v>0.5</v>
      </c>
      <c r="F37" s="27" t="s">
        <v>179</v>
      </c>
      <c r="G37" s="27" t="s">
        <v>128</v>
      </c>
      <c r="H37" s="27" t="s">
        <v>16</v>
      </c>
      <c r="I37" s="29" t="s">
        <v>141</v>
      </c>
    </row>
    <row r="38" customFormat="false" ht="15" hidden="false" customHeight="false" outlineLevel="0" collapsed="false">
      <c r="A38" s="27" t="s">
        <v>181</v>
      </c>
      <c r="B38" s="27" t="s">
        <v>182</v>
      </c>
      <c r="C38" s="27" t="n">
        <v>34374995</v>
      </c>
      <c r="D38" s="28" t="n">
        <v>0.333333333333333</v>
      </c>
      <c r="E38" s="28" t="n">
        <v>0.5</v>
      </c>
      <c r="F38" s="27" t="s">
        <v>183</v>
      </c>
      <c r="G38" s="27" t="s">
        <v>128</v>
      </c>
      <c r="H38" s="27" t="s">
        <v>16</v>
      </c>
      <c r="I38" s="29" t="s">
        <v>93</v>
      </c>
    </row>
    <row r="39" customFormat="false" ht="15" hidden="false" customHeight="false" outlineLevel="0" collapsed="false">
      <c r="A39" s="27" t="s">
        <v>181</v>
      </c>
      <c r="B39" s="27" t="s">
        <v>163</v>
      </c>
      <c r="C39" s="27" t="n">
        <v>43153543</v>
      </c>
      <c r="D39" s="28" t="n">
        <v>0.375</v>
      </c>
      <c r="E39" s="28" t="n">
        <v>0.541666666666667</v>
      </c>
      <c r="F39" s="27" t="s">
        <v>183</v>
      </c>
      <c r="G39" s="27" t="s">
        <v>128</v>
      </c>
      <c r="H39" s="27" t="s">
        <v>13</v>
      </c>
      <c r="I39" s="29" t="s">
        <v>130</v>
      </c>
    </row>
    <row r="40" customFormat="false" ht="15" hidden="false" customHeight="false" outlineLevel="0" collapsed="false">
      <c r="A40" s="27" t="s">
        <v>181</v>
      </c>
      <c r="B40" s="27" t="s">
        <v>174</v>
      </c>
      <c r="C40" s="27" t="n">
        <v>24229754</v>
      </c>
      <c r="D40" s="28" t="n">
        <v>0.333333333333333</v>
      </c>
      <c r="E40" s="28" t="n">
        <v>0.5</v>
      </c>
      <c r="F40" s="27" t="s">
        <v>183</v>
      </c>
      <c r="G40" s="27" t="s">
        <v>128</v>
      </c>
      <c r="H40" s="27" t="s">
        <v>17</v>
      </c>
      <c r="I40" s="29" t="s">
        <v>141</v>
      </c>
    </row>
    <row r="41" customFormat="false" ht="15" hidden="false" customHeight="false" outlineLevel="0" collapsed="false">
      <c r="A41" s="27" t="s">
        <v>184</v>
      </c>
      <c r="B41" s="27" t="s">
        <v>185</v>
      </c>
      <c r="C41" s="27" t="n">
        <v>21530321</v>
      </c>
      <c r="D41" s="28" t="n">
        <v>0.333333333333333</v>
      </c>
      <c r="E41" s="28" t="n">
        <v>0.5</v>
      </c>
      <c r="F41" s="27" t="s">
        <v>186</v>
      </c>
      <c r="G41" s="27" t="s">
        <v>128</v>
      </c>
      <c r="H41" s="27" t="s">
        <v>17</v>
      </c>
      <c r="I41" s="29" t="s">
        <v>93</v>
      </c>
    </row>
    <row r="42" customFormat="false" ht="15" hidden="false" customHeight="false" outlineLevel="0" collapsed="false">
      <c r="A42" s="27" t="s">
        <v>184</v>
      </c>
      <c r="B42" s="27" t="s">
        <v>187</v>
      </c>
      <c r="C42" s="27" t="n">
        <v>36994725</v>
      </c>
      <c r="D42" s="28" t="n">
        <v>0.375</v>
      </c>
      <c r="E42" s="28" t="n">
        <v>0.541666666666667</v>
      </c>
      <c r="F42" s="27" t="s">
        <v>186</v>
      </c>
      <c r="G42" s="27" t="s">
        <v>128</v>
      </c>
      <c r="H42" s="27" t="s">
        <v>13</v>
      </c>
      <c r="I42" s="29" t="s">
        <v>130</v>
      </c>
    </row>
    <row r="43" customFormat="false" ht="15" hidden="false" customHeight="false" outlineLevel="0" collapsed="false">
      <c r="A43" s="27" t="s">
        <v>184</v>
      </c>
      <c r="B43" s="27" t="s">
        <v>188</v>
      </c>
      <c r="C43" s="27" t="n">
        <v>40521040</v>
      </c>
      <c r="D43" s="28" t="n">
        <v>0.333333333333333</v>
      </c>
      <c r="E43" s="28" t="n">
        <v>0.5</v>
      </c>
      <c r="F43" s="27" t="s">
        <v>186</v>
      </c>
      <c r="G43" s="27" t="s">
        <v>128</v>
      </c>
      <c r="H43" s="27" t="s">
        <v>16</v>
      </c>
      <c r="I43" s="29" t="s">
        <v>141</v>
      </c>
    </row>
    <row r="44" customFormat="false" ht="15" hidden="false" customHeight="false" outlineLevel="0" collapsed="false">
      <c r="A44" s="27" t="s">
        <v>189</v>
      </c>
      <c r="B44" s="27" t="s">
        <v>190</v>
      </c>
      <c r="C44" s="27" t="n">
        <v>43445477</v>
      </c>
      <c r="D44" s="28" t="n">
        <v>0.333333333333333</v>
      </c>
      <c r="E44" s="28" t="n">
        <v>0.5</v>
      </c>
      <c r="F44" s="27" t="s">
        <v>191</v>
      </c>
      <c r="G44" s="27" t="s">
        <v>128</v>
      </c>
      <c r="H44" s="27" t="s">
        <v>16</v>
      </c>
      <c r="I44" s="29" t="s">
        <v>93</v>
      </c>
    </row>
    <row r="45" customFormat="false" ht="15" hidden="false" customHeight="false" outlineLevel="0" collapsed="false">
      <c r="A45" s="27" t="s">
        <v>189</v>
      </c>
      <c r="B45" s="27" t="s">
        <v>192</v>
      </c>
      <c r="C45" s="27" t="n">
        <v>45512007</v>
      </c>
      <c r="D45" s="28" t="n">
        <v>0.375</v>
      </c>
      <c r="E45" s="28" t="n">
        <v>0.541666666666667</v>
      </c>
      <c r="F45" s="27" t="s">
        <v>191</v>
      </c>
      <c r="G45" s="27" t="s">
        <v>128</v>
      </c>
      <c r="H45" s="27" t="s">
        <v>13</v>
      </c>
      <c r="I45" s="29" t="s">
        <v>130</v>
      </c>
    </row>
    <row r="46" customFormat="false" ht="15" hidden="false" customHeight="false" outlineLevel="0" collapsed="false">
      <c r="A46" s="27" t="s">
        <v>189</v>
      </c>
      <c r="B46" s="27" t="s">
        <v>193</v>
      </c>
      <c r="C46" s="27" t="n">
        <v>29536550</v>
      </c>
      <c r="D46" s="28" t="n">
        <v>0.333333333333333</v>
      </c>
      <c r="E46" s="28" t="n">
        <v>0.5</v>
      </c>
      <c r="F46" s="27" t="s">
        <v>191</v>
      </c>
      <c r="G46" s="27" t="s">
        <v>128</v>
      </c>
      <c r="H46" s="27" t="s">
        <v>17</v>
      </c>
      <c r="I46" s="29" t="s">
        <v>141</v>
      </c>
    </row>
    <row r="47" customFormat="false" ht="15" hidden="false" customHeight="false" outlineLevel="0" collapsed="false">
      <c r="A47" s="27" t="s">
        <v>194</v>
      </c>
      <c r="B47" s="27" t="s">
        <v>195</v>
      </c>
      <c r="C47" s="27" t="n">
        <v>22161223</v>
      </c>
      <c r="D47" s="28" t="n">
        <v>0.333333333333333</v>
      </c>
      <c r="E47" s="28" t="n">
        <v>0.5</v>
      </c>
      <c r="F47" s="27" t="s">
        <v>196</v>
      </c>
      <c r="G47" s="27" t="s">
        <v>128</v>
      </c>
      <c r="H47" s="27" t="s">
        <v>13</v>
      </c>
      <c r="I47" s="29" t="s">
        <v>93</v>
      </c>
    </row>
    <row r="48" customFormat="false" ht="15" hidden="false" customHeight="false" outlineLevel="0" collapsed="false">
      <c r="A48" s="27" t="s">
        <v>194</v>
      </c>
      <c r="B48" s="27" t="s">
        <v>195</v>
      </c>
      <c r="C48" s="27" t="n">
        <v>22161223</v>
      </c>
      <c r="D48" s="28" t="n">
        <v>0.333333333333333</v>
      </c>
      <c r="E48" s="28" t="n">
        <v>0.5</v>
      </c>
      <c r="F48" s="27" t="s">
        <v>196</v>
      </c>
      <c r="G48" s="27" t="s">
        <v>128</v>
      </c>
      <c r="H48" s="27" t="s">
        <v>13</v>
      </c>
      <c r="I48" s="29" t="s">
        <v>130</v>
      </c>
    </row>
    <row r="49" customFormat="false" ht="15" hidden="false" customHeight="false" outlineLevel="0" collapsed="false">
      <c r="A49" s="27" t="s">
        <v>194</v>
      </c>
      <c r="B49" s="27" t="s">
        <v>195</v>
      </c>
      <c r="C49" s="27" t="n">
        <v>22161223</v>
      </c>
      <c r="D49" s="28" t="n">
        <v>0.333333333333333</v>
      </c>
      <c r="E49" s="28" t="n">
        <v>0.5</v>
      </c>
      <c r="F49" s="27" t="s">
        <v>196</v>
      </c>
      <c r="G49" s="27" t="s">
        <v>128</v>
      </c>
      <c r="H49" s="27" t="s">
        <v>13</v>
      </c>
      <c r="I49" s="29" t="s">
        <v>141</v>
      </c>
    </row>
    <row r="50" customFormat="false" ht="15" hidden="false" customHeight="false" outlineLevel="0" collapsed="false">
      <c r="A50" s="27" t="s">
        <v>197</v>
      </c>
      <c r="B50" s="27" t="s">
        <v>198</v>
      </c>
      <c r="C50" s="27" t="n">
        <v>22416209</v>
      </c>
      <c r="D50" s="28" t="n">
        <v>0.333333333333333</v>
      </c>
      <c r="E50" s="28" t="n">
        <v>0.5</v>
      </c>
      <c r="F50" s="27" t="s">
        <v>199</v>
      </c>
      <c r="G50" s="27" t="s">
        <v>128</v>
      </c>
      <c r="H50" s="27" t="s">
        <v>17</v>
      </c>
      <c r="I50" s="29" t="s">
        <v>93</v>
      </c>
    </row>
    <row r="51" customFormat="false" ht="15" hidden="false" customHeight="false" outlineLevel="0" collapsed="false">
      <c r="A51" s="27" t="s">
        <v>197</v>
      </c>
      <c r="B51" s="27" t="s">
        <v>200</v>
      </c>
      <c r="C51" s="27" t="n">
        <v>38212039</v>
      </c>
      <c r="D51" s="28" t="n">
        <v>0.333333333333333</v>
      </c>
      <c r="E51" s="28" t="n">
        <v>0.5</v>
      </c>
      <c r="F51" s="27" t="s">
        <v>201</v>
      </c>
      <c r="G51" s="27" t="s">
        <v>202</v>
      </c>
      <c r="H51" s="27" t="s">
        <v>13</v>
      </c>
      <c r="I51" s="29" t="s">
        <v>130</v>
      </c>
    </row>
    <row r="52" customFormat="false" ht="15" hidden="false" customHeight="false" outlineLevel="0" collapsed="false">
      <c r="A52" s="27" t="s">
        <v>197</v>
      </c>
      <c r="B52" s="27" t="s">
        <v>200</v>
      </c>
      <c r="C52" s="27" t="n">
        <v>38212039</v>
      </c>
      <c r="D52" s="28" t="n">
        <v>0.333333333333333</v>
      </c>
      <c r="E52" s="28" t="n">
        <v>0.5</v>
      </c>
      <c r="F52" s="27" t="s">
        <v>201</v>
      </c>
      <c r="G52" s="27" t="s">
        <v>202</v>
      </c>
      <c r="H52" s="27" t="s">
        <v>13</v>
      </c>
      <c r="I52" s="29" t="s">
        <v>141</v>
      </c>
    </row>
    <row r="53" customFormat="false" ht="15" hidden="false" customHeight="false" outlineLevel="0" collapsed="false">
      <c r="A53" s="27" t="s">
        <v>203</v>
      </c>
      <c r="B53" s="27" t="s">
        <v>204</v>
      </c>
      <c r="C53" s="27" t="n">
        <v>30062702</v>
      </c>
      <c r="D53" s="28" t="n">
        <v>0.333333333333333</v>
      </c>
      <c r="E53" s="28" t="n">
        <v>0.5</v>
      </c>
      <c r="F53" s="27" t="s">
        <v>205</v>
      </c>
      <c r="G53" s="27" t="s">
        <v>202</v>
      </c>
      <c r="H53" s="27" t="s">
        <v>17</v>
      </c>
      <c r="I53" s="29" t="s">
        <v>93</v>
      </c>
    </row>
    <row r="54" customFormat="false" ht="15" hidden="false" customHeight="false" outlineLevel="0" collapsed="false">
      <c r="A54" s="27" t="s">
        <v>203</v>
      </c>
      <c r="B54" s="27" t="s">
        <v>206</v>
      </c>
      <c r="C54" s="27" t="n">
        <v>41033964</v>
      </c>
      <c r="D54" s="28" t="n">
        <v>0.333333333333333</v>
      </c>
      <c r="E54" s="28" t="n">
        <v>0.5</v>
      </c>
      <c r="F54" s="27" t="s">
        <v>205</v>
      </c>
      <c r="G54" s="27" t="s">
        <v>202</v>
      </c>
      <c r="H54" s="27" t="s">
        <v>13</v>
      </c>
      <c r="I54" s="29" t="s">
        <v>130</v>
      </c>
    </row>
    <row r="55" customFormat="false" ht="15" hidden="false" customHeight="false" outlineLevel="0" collapsed="false">
      <c r="A55" s="27" t="s">
        <v>203</v>
      </c>
      <c r="B55" s="27" t="s">
        <v>207</v>
      </c>
      <c r="C55" s="27" t="n">
        <v>40583326</v>
      </c>
      <c r="D55" s="28" t="n">
        <v>0.333333333333333</v>
      </c>
      <c r="E55" s="28" t="n">
        <v>0.5</v>
      </c>
      <c r="F55" s="27" t="s">
        <v>205</v>
      </c>
      <c r="G55" s="27" t="s">
        <v>202</v>
      </c>
      <c r="H55" s="27" t="s">
        <v>16</v>
      </c>
      <c r="I55" s="29" t="s">
        <v>141</v>
      </c>
    </row>
    <row r="56" customFormat="false" ht="15" hidden="false" customHeight="false" outlineLevel="0" collapsed="false">
      <c r="A56" s="27" t="s">
        <v>208</v>
      </c>
      <c r="B56" s="27" t="s">
        <v>209</v>
      </c>
      <c r="C56" s="27" t="n">
        <v>23147246</v>
      </c>
      <c r="D56" s="28" t="n">
        <v>0.333333333333333</v>
      </c>
      <c r="E56" s="28" t="n">
        <v>0.5</v>
      </c>
      <c r="F56" s="27" t="s">
        <v>210</v>
      </c>
      <c r="G56" s="27" t="s">
        <v>202</v>
      </c>
      <c r="H56" s="27" t="s">
        <v>13</v>
      </c>
      <c r="I56" s="29" t="s">
        <v>93</v>
      </c>
    </row>
    <row r="57" customFormat="false" ht="15" hidden="false" customHeight="false" outlineLevel="0" collapsed="false">
      <c r="A57" s="27" t="s">
        <v>208</v>
      </c>
      <c r="B57" s="27" t="s">
        <v>198</v>
      </c>
      <c r="C57" s="27" t="n">
        <v>22416209</v>
      </c>
      <c r="D57" s="28" t="n">
        <v>0.333333333333333</v>
      </c>
      <c r="E57" s="28" t="n">
        <v>0.5</v>
      </c>
      <c r="F57" s="27" t="s">
        <v>210</v>
      </c>
      <c r="G57" s="27" t="s">
        <v>202</v>
      </c>
      <c r="H57" s="27" t="s">
        <v>17</v>
      </c>
      <c r="I57" s="29" t="s">
        <v>130</v>
      </c>
    </row>
    <row r="58" customFormat="false" ht="15" hidden="false" customHeight="false" outlineLevel="0" collapsed="false">
      <c r="A58" s="27" t="s">
        <v>208</v>
      </c>
      <c r="B58" s="27" t="s">
        <v>190</v>
      </c>
      <c r="C58" s="27" t="n">
        <v>43445477</v>
      </c>
      <c r="D58" s="28" t="n">
        <v>0.333333333333333</v>
      </c>
      <c r="E58" s="28" t="n">
        <v>0.5</v>
      </c>
      <c r="F58" s="27" t="s">
        <v>210</v>
      </c>
      <c r="G58" s="27" t="s">
        <v>202</v>
      </c>
      <c r="H58" s="27" t="s">
        <v>16</v>
      </c>
      <c r="I58" s="29" t="s">
        <v>141</v>
      </c>
    </row>
    <row r="59" customFormat="false" ht="15" hidden="false" customHeight="false" outlineLevel="0" collapsed="false">
      <c r="A59" s="27" t="s">
        <v>211</v>
      </c>
      <c r="B59" s="27" t="s">
        <v>212</v>
      </c>
      <c r="C59" s="27" t="n">
        <v>27428326</v>
      </c>
      <c r="D59" s="28" t="n">
        <v>0.333333333333333</v>
      </c>
      <c r="E59" s="28" t="n">
        <v>0.5</v>
      </c>
      <c r="F59" s="27" t="s">
        <v>213</v>
      </c>
      <c r="G59" s="27" t="s">
        <v>202</v>
      </c>
      <c r="H59" s="27" t="s">
        <v>17</v>
      </c>
      <c r="I59" s="29" t="s">
        <v>93</v>
      </c>
    </row>
    <row r="60" customFormat="false" ht="15" hidden="false" customHeight="false" outlineLevel="0" collapsed="false">
      <c r="A60" s="27" t="s">
        <v>211</v>
      </c>
      <c r="B60" s="27" t="s">
        <v>214</v>
      </c>
      <c r="C60" s="27" t="n">
        <v>41942626</v>
      </c>
      <c r="D60" s="28" t="n">
        <v>0.333333333333333</v>
      </c>
      <c r="E60" s="28" t="n">
        <v>0.5</v>
      </c>
      <c r="F60" s="27" t="s">
        <v>213</v>
      </c>
      <c r="G60" s="27" t="s">
        <v>202</v>
      </c>
      <c r="H60" s="27" t="s">
        <v>16</v>
      </c>
      <c r="I60" s="29" t="s">
        <v>130</v>
      </c>
    </row>
    <row r="61" customFormat="false" ht="15" hidden="false" customHeight="false" outlineLevel="0" collapsed="false">
      <c r="A61" s="27" t="s">
        <v>211</v>
      </c>
      <c r="B61" s="27" t="s">
        <v>215</v>
      </c>
      <c r="C61" s="27" t="n">
        <v>31301492</v>
      </c>
      <c r="D61" s="28" t="n">
        <v>0.333333333333333</v>
      </c>
      <c r="E61" s="28" t="n">
        <v>0.5</v>
      </c>
      <c r="F61" s="27" t="s">
        <v>213</v>
      </c>
      <c r="G61" s="27" t="s">
        <v>202</v>
      </c>
      <c r="H61" s="27" t="s">
        <v>13</v>
      </c>
      <c r="I61" s="29" t="s">
        <v>141</v>
      </c>
    </row>
    <row r="62" customFormat="false" ht="15" hidden="false" customHeight="false" outlineLevel="0" collapsed="false">
      <c r="A62" s="27" t="s">
        <v>216</v>
      </c>
      <c r="B62" s="27" t="s">
        <v>217</v>
      </c>
      <c r="C62" s="27" t="n">
        <v>49544681</v>
      </c>
      <c r="D62" s="28" t="n">
        <v>0.333333333333333</v>
      </c>
      <c r="E62" s="28" t="n">
        <v>0.5</v>
      </c>
      <c r="F62" s="27" t="s">
        <v>218</v>
      </c>
      <c r="G62" s="27" t="s">
        <v>219</v>
      </c>
      <c r="H62" s="27" t="s">
        <v>13</v>
      </c>
      <c r="I62" s="29" t="s">
        <v>93</v>
      </c>
    </row>
    <row r="63" customFormat="false" ht="15" hidden="false" customHeight="false" outlineLevel="0" collapsed="false">
      <c r="A63" s="27" t="s">
        <v>216</v>
      </c>
      <c r="B63" s="27" t="s">
        <v>220</v>
      </c>
      <c r="C63" s="27" t="n">
        <v>40648512</v>
      </c>
      <c r="D63" s="28" t="n">
        <v>0.375</v>
      </c>
      <c r="E63" s="28" t="n">
        <v>0.541666666666667</v>
      </c>
      <c r="F63" s="27" t="s">
        <v>221</v>
      </c>
      <c r="G63" s="27" t="s">
        <v>222</v>
      </c>
      <c r="H63" s="27" t="s">
        <v>16</v>
      </c>
      <c r="I63" s="29" t="s">
        <v>130</v>
      </c>
    </row>
    <row r="64" customFormat="false" ht="15" hidden="false" customHeight="false" outlineLevel="0" collapsed="false">
      <c r="A64" s="27" t="s">
        <v>216</v>
      </c>
      <c r="B64" s="27" t="s">
        <v>223</v>
      </c>
      <c r="C64" s="27" t="n">
        <v>40689644</v>
      </c>
      <c r="D64" s="28" t="n">
        <v>0.333333333333333</v>
      </c>
      <c r="E64" s="28" t="n">
        <v>0.5</v>
      </c>
      <c r="F64" s="27" t="s">
        <v>218</v>
      </c>
      <c r="G64" s="27" t="s">
        <v>219</v>
      </c>
      <c r="H64" s="27" t="s">
        <v>17</v>
      </c>
      <c r="I64" s="29" t="s">
        <v>141</v>
      </c>
    </row>
    <row r="65" customFormat="false" ht="15" hidden="false" customHeight="false" outlineLevel="0" collapsed="false">
      <c r="A65" s="27" t="s">
        <v>224</v>
      </c>
      <c r="B65" s="27" t="s">
        <v>225</v>
      </c>
      <c r="C65" s="27" t="n">
        <v>49927429</v>
      </c>
      <c r="D65" s="28" t="n">
        <v>0.333333333333333</v>
      </c>
      <c r="E65" s="28" t="n">
        <v>0.5</v>
      </c>
      <c r="F65" s="27" t="s">
        <v>226</v>
      </c>
      <c r="G65" s="27" t="s">
        <v>222</v>
      </c>
      <c r="H65" s="27" t="s">
        <v>17</v>
      </c>
      <c r="I65" s="29" t="s">
        <v>93</v>
      </c>
    </row>
    <row r="66" customFormat="false" ht="15" hidden="false" customHeight="false" outlineLevel="0" collapsed="false">
      <c r="A66" s="27" t="s">
        <v>224</v>
      </c>
      <c r="B66" s="27" t="s">
        <v>227</v>
      </c>
      <c r="C66" s="27" t="n">
        <v>25847276</v>
      </c>
      <c r="D66" s="28" t="n">
        <v>0.375</v>
      </c>
      <c r="E66" s="28" t="n">
        <v>0.541666666666667</v>
      </c>
      <c r="F66" s="27" t="s">
        <v>226</v>
      </c>
      <c r="G66" s="27" t="s">
        <v>222</v>
      </c>
      <c r="H66" s="27" t="s">
        <v>16</v>
      </c>
      <c r="I66" s="29" t="s">
        <v>130</v>
      </c>
    </row>
    <row r="67" customFormat="false" ht="15" hidden="false" customHeight="false" outlineLevel="0" collapsed="false">
      <c r="A67" s="27" t="s">
        <v>224</v>
      </c>
      <c r="B67" s="27" t="s">
        <v>228</v>
      </c>
      <c r="C67" s="27" t="n">
        <v>38302042</v>
      </c>
      <c r="D67" s="28" t="n">
        <v>0.333333333333333</v>
      </c>
      <c r="E67" s="28" t="n">
        <v>0.5</v>
      </c>
      <c r="F67" s="27" t="s">
        <v>226</v>
      </c>
      <c r="G67" s="27" t="s">
        <v>222</v>
      </c>
      <c r="H67" s="27" t="s">
        <v>13</v>
      </c>
      <c r="I67" s="29" t="s">
        <v>141</v>
      </c>
    </row>
    <row r="68" customFormat="false" ht="15" hidden="false" customHeight="false" outlineLevel="0" collapsed="false">
      <c r="A68" s="27" t="s">
        <v>229</v>
      </c>
      <c r="B68" s="27" t="s">
        <v>230</v>
      </c>
      <c r="C68" s="27" t="n">
        <v>32051885</v>
      </c>
      <c r="D68" s="28" t="n">
        <v>0.333333333333333</v>
      </c>
      <c r="E68" s="28" t="n">
        <v>0.5</v>
      </c>
      <c r="F68" s="27" t="s">
        <v>231</v>
      </c>
      <c r="G68" s="27" t="s">
        <v>128</v>
      </c>
      <c r="H68" s="27" t="s">
        <v>13</v>
      </c>
      <c r="I68" s="29" t="s">
        <v>93</v>
      </c>
    </row>
    <row r="69" customFormat="false" ht="15" hidden="false" customHeight="false" outlineLevel="0" collapsed="false">
      <c r="A69" s="27" t="s">
        <v>229</v>
      </c>
      <c r="B69" s="27" t="s">
        <v>232</v>
      </c>
      <c r="C69" s="27" t="n">
        <v>31613463</v>
      </c>
      <c r="D69" s="28" t="n">
        <v>0.375</v>
      </c>
      <c r="E69" s="28" t="n">
        <v>0.541666666666667</v>
      </c>
      <c r="F69" s="27" t="s">
        <v>231</v>
      </c>
      <c r="G69" s="27" t="s">
        <v>128</v>
      </c>
      <c r="H69" s="27" t="s">
        <v>16</v>
      </c>
      <c r="I69" s="29" t="s">
        <v>130</v>
      </c>
    </row>
    <row r="70" customFormat="false" ht="15" hidden="false" customHeight="false" outlineLevel="0" collapsed="false">
      <c r="A70" s="27" t="s">
        <v>229</v>
      </c>
      <c r="B70" s="27" t="s">
        <v>212</v>
      </c>
      <c r="C70" s="27" t="n">
        <v>27428326</v>
      </c>
      <c r="D70" s="28" t="n">
        <v>0.333333333333333</v>
      </c>
      <c r="E70" s="28" t="n">
        <v>0.5</v>
      </c>
      <c r="F70" s="27" t="s">
        <v>231</v>
      </c>
      <c r="G70" s="27" t="s">
        <v>128</v>
      </c>
      <c r="H70" s="27" t="s">
        <v>17</v>
      </c>
      <c r="I70" s="29" t="s">
        <v>141</v>
      </c>
    </row>
    <row r="71" customFormat="false" ht="15" hidden="false" customHeight="false" outlineLevel="0" collapsed="false">
      <c r="A71" s="27" t="s">
        <v>233</v>
      </c>
      <c r="B71" s="27" t="s">
        <v>234</v>
      </c>
      <c r="C71" s="27" t="n">
        <v>45500200</v>
      </c>
      <c r="D71" s="28" t="n">
        <v>0.333333333333333</v>
      </c>
      <c r="E71" s="28" t="n">
        <v>0.5</v>
      </c>
      <c r="F71" s="27" t="s">
        <v>235</v>
      </c>
      <c r="G71" s="27" t="s">
        <v>222</v>
      </c>
      <c r="H71" s="27" t="s">
        <v>13</v>
      </c>
      <c r="I71" s="29" t="s">
        <v>93</v>
      </c>
    </row>
    <row r="72" customFormat="false" ht="15" hidden="false" customHeight="false" outlineLevel="0" collapsed="false">
      <c r="A72" s="27" t="s">
        <v>233</v>
      </c>
      <c r="B72" s="27" t="s">
        <v>236</v>
      </c>
      <c r="C72" s="27" t="n">
        <v>45167258</v>
      </c>
      <c r="D72" s="28" t="n">
        <v>0.375</v>
      </c>
      <c r="E72" s="28" t="n">
        <v>0.541666666666667</v>
      </c>
      <c r="F72" s="27" t="s">
        <v>235</v>
      </c>
      <c r="G72" s="27" t="s">
        <v>222</v>
      </c>
      <c r="H72" s="27" t="s">
        <v>16</v>
      </c>
      <c r="I72" s="29" t="s">
        <v>130</v>
      </c>
    </row>
    <row r="73" customFormat="false" ht="15" hidden="false" customHeight="false" outlineLevel="0" collapsed="false">
      <c r="A73" s="30" t="s">
        <v>233</v>
      </c>
      <c r="B73" s="30" t="s">
        <v>225</v>
      </c>
      <c r="C73" s="30" t="n">
        <v>49927429</v>
      </c>
      <c r="D73" s="31" t="n">
        <v>0.333333333333333</v>
      </c>
      <c r="E73" s="31" t="n">
        <v>0.5</v>
      </c>
      <c r="F73" s="30" t="s">
        <v>235</v>
      </c>
      <c r="G73" s="30" t="s">
        <v>222</v>
      </c>
      <c r="H73" s="30" t="s">
        <v>17</v>
      </c>
      <c r="I73" s="29" t="s">
        <v>141</v>
      </c>
    </row>
    <row r="74" customFormat="false" ht="15" hidden="false" customHeight="false" outlineLevel="0" collapsed="false">
      <c r="A74" s="27" t="s">
        <v>237</v>
      </c>
      <c r="B74" s="27" t="s">
        <v>238</v>
      </c>
      <c r="C74" s="27" t="n">
        <v>28174899</v>
      </c>
      <c r="D74" s="28" t="n">
        <v>0.333333333333333</v>
      </c>
      <c r="E74" s="28" t="n">
        <v>0.5</v>
      </c>
      <c r="F74" s="27" t="s">
        <v>239</v>
      </c>
      <c r="G74" s="27" t="s">
        <v>128</v>
      </c>
      <c r="H74" s="27" t="s">
        <v>17</v>
      </c>
      <c r="I74" s="29" t="s">
        <v>240</v>
      </c>
    </row>
    <row r="75" customFormat="false" ht="15" hidden="false" customHeight="false" outlineLevel="0" collapsed="false">
      <c r="A75" s="27" t="s">
        <v>237</v>
      </c>
      <c r="B75" s="27" t="s">
        <v>217</v>
      </c>
      <c r="C75" s="27" t="n">
        <v>49544681</v>
      </c>
      <c r="D75" s="28" t="n">
        <v>0.375</v>
      </c>
      <c r="E75" s="28" t="n">
        <v>0.541666666666667</v>
      </c>
      <c r="F75" s="27" t="s">
        <v>239</v>
      </c>
      <c r="G75" s="27" t="s">
        <v>128</v>
      </c>
      <c r="H75" s="27" t="s">
        <v>13</v>
      </c>
      <c r="I75" s="29" t="s">
        <v>130</v>
      </c>
    </row>
    <row r="76" customFormat="false" ht="15" hidden="false" customHeight="false" outlineLevel="0" collapsed="false">
      <c r="A76" s="27" t="s">
        <v>237</v>
      </c>
      <c r="B76" s="27" t="s">
        <v>241</v>
      </c>
      <c r="C76" s="27" t="n">
        <v>32542640</v>
      </c>
      <c r="D76" s="28" t="n">
        <v>0.333333333333333</v>
      </c>
      <c r="E76" s="28" t="n">
        <v>0.5</v>
      </c>
      <c r="F76" s="27" t="s">
        <v>239</v>
      </c>
      <c r="G76" s="27" t="s">
        <v>128</v>
      </c>
      <c r="H76" s="27" t="s">
        <v>16</v>
      </c>
      <c r="I76" s="29" t="s">
        <v>141</v>
      </c>
    </row>
    <row r="77" customFormat="false" ht="15" hidden="false" customHeight="false" outlineLevel="0" collapsed="false">
      <c r="A77" s="27" t="s">
        <v>242</v>
      </c>
      <c r="B77" s="27" t="s">
        <v>215</v>
      </c>
      <c r="C77" s="27" t="n">
        <v>31301492</v>
      </c>
      <c r="D77" s="28" t="n">
        <v>0.333333333333333</v>
      </c>
      <c r="E77" s="28" t="n">
        <v>0.5</v>
      </c>
      <c r="F77" s="27" t="s">
        <v>243</v>
      </c>
      <c r="G77" s="27" t="s">
        <v>222</v>
      </c>
      <c r="H77" s="27" t="s">
        <v>13</v>
      </c>
      <c r="I77" s="29" t="s">
        <v>93</v>
      </c>
    </row>
    <row r="78" customFormat="false" ht="15" hidden="false" customHeight="false" outlineLevel="0" collapsed="false">
      <c r="A78" s="27" t="s">
        <v>242</v>
      </c>
      <c r="B78" s="27" t="s">
        <v>223</v>
      </c>
      <c r="C78" s="27" t="n">
        <v>40689644</v>
      </c>
      <c r="D78" s="28" t="n">
        <v>0.375</v>
      </c>
      <c r="E78" s="28" t="n">
        <v>0.541666666666667</v>
      </c>
      <c r="F78" s="27" t="s">
        <v>243</v>
      </c>
      <c r="G78" s="27" t="s">
        <v>222</v>
      </c>
      <c r="H78" s="27" t="s">
        <v>17</v>
      </c>
      <c r="I78" s="29" t="s">
        <v>130</v>
      </c>
    </row>
    <row r="79" customFormat="false" ht="15" hidden="false" customHeight="false" outlineLevel="0" collapsed="false">
      <c r="A79" s="27" t="s">
        <v>242</v>
      </c>
      <c r="B79" s="27" t="s">
        <v>244</v>
      </c>
      <c r="C79" s="27" t="n">
        <v>43019168</v>
      </c>
      <c r="D79" s="28" t="n">
        <v>0.333333333333333</v>
      </c>
      <c r="E79" s="28" t="n">
        <v>0.5</v>
      </c>
      <c r="F79" s="27" t="s">
        <v>243</v>
      </c>
      <c r="G79" s="27" t="s">
        <v>222</v>
      </c>
      <c r="H79" s="27" t="s">
        <v>16</v>
      </c>
      <c r="I79" s="29" t="s">
        <v>141</v>
      </c>
    </row>
    <row r="80" customFormat="false" ht="15" hidden="false" customHeight="false" outlineLevel="0" collapsed="false">
      <c r="A80" s="27" t="s">
        <v>245</v>
      </c>
      <c r="B80" s="27" t="s">
        <v>207</v>
      </c>
      <c r="C80" s="27" t="n">
        <v>40583326</v>
      </c>
      <c r="D80" s="28" t="n">
        <v>0.333333333333333</v>
      </c>
      <c r="E80" s="28" t="n">
        <v>0.5</v>
      </c>
      <c r="F80" s="27" t="s">
        <v>246</v>
      </c>
      <c r="G80" s="27" t="s">
        <v>222</v>
      </c>
      <c r="H80" s="27" t="s">
        <v>16</v>
      </c>
      <c r="I80" s="29" t="s">
        <v>93</v>
      </c>
    </row>
    <row r="81" customFormat="false" ht="15" hidden="false" customHeight="false" outlineLevel="0" collapsed="false">
      <c r="A81" s="27" t="s">
        <v>245</v>
      </c>
      <c r="B81" s="27" t="s">
        <v>247</v>
      </c>
      <c r="C81" s="27" t="n">
        <v>39028121</v>
      </c>
      <c r="D81" s="28" t="n">
        <v>0.375</v>
      </c>
      <c r="E81" s="28" t="n">
        <v>0.541666666666667</v>
      </c>
      <c r="F81" s="27" t="s">
        <v>246</v>
      </c>
      <c r="G81" s="27" t="s">
        <v>222</v>
      </c>
      <c r="H81" s="27" t="s">
        <v>13</v>
      </c>
      <c r="I81" s="29" t="s">
        <v>130</v>
      </c>
    </row>
    <row r="82" customFormat="false" ht="15" hidden="false" customHeight="false" outlineLevel="0" collapsed="false">
      <c r="A82" s="27" t="s">
        <v>245</v>
      </c>
      <c r="B82" s="27" t="s">
        <v>238</v>
      </c>
      <c r="C82" s="27" t="n">
        <v>28174899</v>
      </c>
      <c r="D82" s="28" t="n">
        <v>0.333333333333333</v>
      </c>
      <c r="E82" s="28" t="n">
        <v>0.5</v>
      </c>
      <c r="F82" s="27" t="s">
        <v>246</v>
      </c>
      <c r="G82" s="27" t="s">
        <v>222</v>
      </c>
      <c r="H82" s="27" t="s">
        <v>17</v>
      </c>
      <c r="I82" s="29" t="s">
        <v>141</v>
      </c>
    </row>
    <row r="83" customFormat="false" ht="15" hidden="false" customHeight="false" outlineLevel="0" collapsed="false">
      <c r="A83" s="27" t="s">
        <v>248</v>
      </c>
      <c r="B83" s="27" t="s">
        <v>249</v>
      </c>
      <c r="C83" s="27" t="n">
        <v>31424197</v>
      </c>
      <c r="D83" s="28" t="n">
        <v>0.333333333333333</v>
      </c>
      <c r="E83" s="28" t="n">
        <v>0.5</v>
      </c>
      <c r="F83" s="27" t="s">
        <v>250</v>
      </c>
      <c r="G83" s="27" t="s">
        <v>222</v>
      </c>
      <c r="H83" s="27" t="s">
        <v>17</v>
      </c>
      <c r="I83" s="29" t="s">
        <v>93</v>
      </c>
    </row>
    <row r="84" customFormat="false" ht="15" hidden="false" customHeight="false" outlineLevel="0" collapsed="false">
      <c r="A84" s="27" t="s">
        <v>248</v>
      </c>
      <c r="B84" s="27" t="s">
        <v>251</v>
      </c>
      <c r="C84" s="27" t="n">
        <v>24915990</v>
      </c>
      <c r="D84" s="28" t="n">
        <v>0.375</v>
      </c>
      <c r="E84" s="28" t="n">
        <v>0.541666666666667</v>
      </c>
      <c r="F84" s="27" t="s">
        <v>250</v>
      </c>
      <c r="G84" s="27" t="s">
        <v>222</v>
      </c>
      <c r="H84" s="27" t="s">
        <v>16</v>
      </c>
      <c r="I84" s="29" t="s">
        <v>130</v>
      </c>
    </row>
    <row r="85" customFormat="false" ht="15" hidden="false" customHeight="false" outlineLevel="0" collapsed="false">
      <c r="A85" s="27" t="s">
        <v>248</v>
      </c>
      <c r="B85" s="27" t="s">
        <v>252</v>
      </c>
      <c r="C85" s="27" t="n">
        <v>21533592</v>
      </c>
      <c r="D85" s="28" t="n">
        <v>0.333333333333333</v>
      </c>
      <c r="E85" s="28" t="n">
        <v>0.5</v>
      </c>
      <c r="F85" s="27" t="s">
        <v>250</v>
      </c>
      <c r="G85" s="27" t="s">
        <v>222</v>
      </c>
      <c r="H85" s="27" t="s">
        <v>13</v>
      </c>
      <c r="I85" s="29" t="s">
        <v>141</v>
      </c>
    </row>
    <row r="86" customFormat="false" ht="15" hidden="false" customHeight="false" outlineLevel="0" collapsed="false">
      <c r="A86" s="27" t="s">
        <v>253</v>
      </c>
      <c r="B86" s="27" t="s">
        <v>135</v>
      </c>
      <c r="C86" s="27" t="n">
        <v>45199247</v>
      </c>
      <c r="D86" s="28" t="n">
        <v>0.333333333333333</v>
      </c>
      <c r="E86" s="28" t="n">
        <v>0.5</v>
      </c>
      <c r="F86" s="27" t="s">
        <v>254</v>
      </c>
      <c r="G86" s="27" t="s">
        <v>222</v>
      </c>
      <c r="H86" s="27" t="s">
        <v>13</v>
      </c>
      <c r="I86" s="29" t="s">
        <v>93</v>
      </c>
    </row>
    <row r="87" customFormat="false" ht="15" hidden="false" customHeight="false" outlineLevel="0" collapsed="false">
      <c r="A87" s="27" t="s">
        <v>253</v>
      </c>
      <c r="B87" s="27" t="s">
        <v>255</v>
      </c>
      <c r="C87" s="27" t="n">
        <v>32124759</v>
      </c>
      <c r="D87" s="28" t="n">
        <v>0.375</v>
      </c>
      <c r="E87" s="28" t="n">
        <v>0.541666666666667</v>
      </c>
      <c r="F87" s="27" t="s">
        <v>254</v>
      </c>
      <c r="G87" s="27" t="s">
        <v>222</v>
      </c>
      <c r="H87" s="27" t="s">
        <v>16</v>
      </c>
      <c r="I87" s="29" t="s">
        <v>130</v>
      </c>
    </row>
    <row r="88" customFormat="false" ht="15" hidden="false" customHeight="false" outlineLevel="0" collapsed="false">
      <c r="A88" s="27" t="s">
        <v>253</v>
      </c>
      <c r="B88" s="27" t="s">
        <v>256</v>
      </c>
      <c r="C88" s="27" t="n">
        <v>33016514</v>
      </c>
      <c r="D88" s="28" t="n">
        <v>0.333333333333333</v>
      </c>
      <c r="E88" s="28" t="n">
        <v>0.5</v>
      </c>
      <c r="F88" s="27" t="s">
        <v>254</v>
      </c>
      <c r="G88" s="27" t="s">
        <v>222</v>
      </c>
      <c r="H88" s="27" t="s">
        <v>17</v>
      </c>
      <c r="I88" s="29" t="s">
        <v>141</v>
      </c>
    </row>
    <row r="89" customFormat="false" ht="15" hidden="false" customHeight="false" outlineLevel="0" collapsed="false">
      <c r="A89" s="27" t="s">
        <v>257</v>
      </c>
      <c r="B89" s="27" t="s">
        <v>258</v>
      </c>
      <c r="C89" s="27" t="n">
        <v>22371012</v>
      </c>
      <c r="D89" s="28" t="n">
        <v>0.333333333333333</v>
      </c>
      <c r="E89" s="28" t="n">
        <v>0.5</v>
      </c>
      <c r="F89" s="27" t="s">
        <v>259</v>
      </c>
      <c r="G89" s="27" t="s">
        <v>222</v>
      </c>
      <c r="H89" s="27" t="s">
        <v>13</v>
      </c>
      <c r="I89" s="29" t="s">
        <v>93</v>
      </c>
    </row>
    <row r="90" customFormat="false" ht="15" hidden="false" customHeight="false" outlineLevel="0" collapsed="false">
      <c r="A90" s="27" t="s">
        <v>257</v>
      </c>
      <c r="B90" s="27" t="s">
        <v>260</v>
      </c>
      <c r="C90" s="27" t="n">
        <v>21115942</v>
      </c>
      <c r="D90" s="28" t="n">
        <v>0.375</v>
      </c>
      <c r="E90" s="28" t="n">
        <v>0.541666666666667</v>
      </c>
      <c r="F90" s="27" t="s">
        <v>259</v>
      </c>
      <c r="G90" s="27" t="s">
        <v>222</v>
      </c>
      <c r="H90" s="27" t="s">
        <v>17</v>
      </c>
      <c r="I90" s="29" t="s">
        <v>130</v>
      </c>
    </row>
    <row r="91" customFormat="false" ht="15" hidden="false" customHeight="false" outlineLevel="0" collapsed="false">
      <c r="A91" s="27" t="s">
        <v>257</v>
      </c>
      <c r="B91" s="27" t="s">
        <v>261</v>
      </c>
      <c r="C91" s="27" t="n">
        <v>21990612</v>
      </c>
      <c r="D91" s="28" t="n">
        <v>0.333333333333333</v>
      </c>
      <c r="E91" s="28" t="n">
        <v>0.5</v>
      </c>
      <c r="F91" s="27" t="s">
        <v>259</v>
      </c>
      <c r="G91" s="27" t="s">
        <v>222</v>
      </c>
      <c r="H91" s="27" t="s">
        <v>16</v>
      </c>
      <c r="I91" s="29" t="s">
        <v>141</v>
      </c>
    </row>
    <row r="92" customFormat="false" ht="15" hidden="false" customHeight="false" outlineLevel="0" collapsed="false">
      <c r="A92" s="27" t="s">
        <v>262</v>
      </c>
      <c r="B92" s="27" t="s">
        <v>214</v>
      </c>
      <c r="C92" s="27" t="n">
        <v>41942626</v>
      </c>
      <c r="D92" s="28" t="n">
        <v>0.333333333333333</v>
      </c>
      <c r="E92" s="28" t="n">
        <v>0.5</v>
      </c>
      <c r="F92" s="27" t="s">
        <v>263</v>
      </c>
      <c r="G92" s="27" t="s">
        <v>222</v>
      </c>
      <c r="H92" s="27" t="s">
        <v>16</v>
      </c>
      <c r="I92" s="29" t="s">
        <v>93</v>
      </c>
    </row>
    <row r="93" customFormat="false" ht="15" hidden="false" customHeight="false" outlineLevel="0" collapsed="false">
      <c r="A93" s="27" t="s">
        <v>262</v>
      </c>
      <c r="B93" s="27" t="s">
        <v>264</v>
      </c>
      <c r="C93" s="27" t="n">
        <v>33675346</v>
      </c>
      <c r="D93" s="28" t="n">
        <v>0.375</v>
      </c>
      <c r="E93" s="28" t="n">
        <v>0.541666666666667</v>
      </c>
      <c r="F93" s="27" t="s">
        <v>263</v>
      </c>
      <c r="G93" s="27" t="s">
        <v>222</v>
      </c>
      <c r="H93" s="27" t="s">
        <v>17</v>
      </c>
      <c r="I93" s="29" t="s">
        <v>130</v>
      </c>
    </row>
    <row r="94" customFormat="false" ht="15" hidden="false" customHeight="false" outlineLevel="0" collapsed="false">
      <c r="A94" s="27" t="s">
        <v>262</v>
      </c>
      <c r="B94" s="27" t="s">
        <v>258</v>
      </c>
      <c r="C94" s="27" t="n">
        <v>22371012</v>
      </c>
      <c r="D94" s="28" t="n">
        <v>0.333333333333333</v>
      </c>
      <c r="E94" s="28" t="n">
        <v>0.5</v>
      </c>
      <c r="F94" s="27" t="s">
        <v>263</v>
      </c>
      <c r="G94" s="27" t="s">
        <v>222</v>
      </c>
      <c r="H94" s="27" t="s">
        <v>13</v>
      </c>
      <c r="I94" s="29" t="s">
        <v>141</v>
      </c>
    </row>
    <row r="95" customFormat="false" ht="15" hidden="false" customHeight="false" outlineLevel="0" collapsed="false">
      <c r="A95" s="27" t="s">
        <v>265</v>
      </c>
      <c r="B95" s="27" t="s">
        <v>266</v>
      </c>
      <c r="C95" s="27" t="n">
        <v>36337410</v>
      </c>
      <c r="D95" s="28" t="n">
        <v>0.333333333333333</v>
      </c>
      <c r="E95" s="28" t="n">
        <v>0.5</v>
      </c>
      <c r="F95" s="27" t="s">
        <v>267</v>
      </c>
      <c r="G95" s="27" t="s">
        <v>222</v>
      </c>
      <c r="H95" s="27" t="s">
        <v>13</v>
      </c>
      <c r="I95" s="29" t="s">
        <v>93</v>
      </c>
    </row>
    <row r="96" customFormat="false" ht="15" hidden="false" customHeight="false" outlineLevel="0" collapsed="false">
      <c r="A96" s="27" t="s">
        <v>265</v>
      </c>
      <c r="B96" s="27" t="s">
        <v>268</v>
      </c>
      <c r="C96" s="27" t="n">
        <v>39105708</v>
      </c>
      <c r="D96" s="28" t="n">
        <v>0.375</v>
      </c>
      <c r="E96" s="28" t="n">
        <v>0.541666666666667</v>
      </c>
      <c r="F96" s="27" t="s">
        <v>267</v>
      </c>
      <c r="G96" s="27" t="s">
        <v>222</v>
      </c>
      <c r="H96" s="27" t="s">
        <v>17</v>
      </c>
      <c r="I96" s="29" t="s">
        <v>130</v>
      </c>
    </row>
    <row r="97" customFormat="false" ht="15" hidden="false" customHeight="false" outlineLevel="0" collapsed="false">
      <c r="A97" s="27" t="s">
        <v>265</v>
      </c>
      <c r="B97" s="27" t="s">
        <v>269</v>
      </c>
      <c r="C97" s="27" t="n">
        <v>39381343</v>
      </c>
      <c r="D97" s="28" t="n">
        <v>0.333333333333333</v>
      </c>
      <c r="E97" s="28" t="n">
        <v>0.5</v>
      </c>
      <c r="F97" s="27" t="s">
        <v>267</v>
      </c>
      <c r="G97" s="27" t="s">
        <v>222</v>
      </c>
      <c r="H97" s="27" t="s">
        <v>16</v>
      </c>
      <c r="I97" s="29" t="s">
        <v>141</v>
      </c>
    </row>
    <row r="98" customFormat="false" ht="15" hidden="false" customHeight="false" outlineLevel="0" collapsed="false">
      <c r="A98" s="27" t="s">
        <v>270</v>
      </c>
      <c r="B98" s="27" t="s">
        <v>271</v>
      </c>
      <c r="C98" s="27" t="n">
        <v>20437825</v>
      </c>
      <c r="D98" s="28" t="n">
        <v>0.333333333333333</v>
      </c>
      <c r="E98" s="28" t="n">
        <v>0.5</v>
      </c>
      <c r="F98" s="27" t="s">
        <v>127</v>
      </c>
      <c r="G98" s="27" t="s">
        <v>128</v>
      </c>
      <c r="H98" s="27" t="s">
        <v>16</v>
      </c>
      <c r="I98" s="29" t="s">
        <v>15</v>
      </c>
    </row>
    <row r="99" customFormat="false" ht="15" hidden="false" customHeight="false" outlineLevel="0" collapsed="false">
      <c r="A99" s="27" t="s">
        <v>270</v>
      </c>
      <c r="B99" s="27" t="s">
        <v>272</v>
      </c>
      <c r="C99" s="27" t="n">
        <v>41613259</v>
      </c>
      <c r="D99" s="28" t="n">
        <v>0.333333333333333</v>
      </c>
      <c r="E99" s="28" t="n">
        <v>0.5</v>
      </c>
      <c r="F99" s="27" t="s">
        <v>127</v>
      </c>
      <c r="G99" s="27" t="s">
        <v>128</v>
      </c>
      <c r="H99" s="27" t="s">
        <v>13</v>
      </c>
      <c r="I99" s="29" t="s">
        <v>240</v>
      </c>
    </row>
    <row r="100" customFormat="false" ht="15" hidden="false" customHeight="false" outlineLevel="0" collapsed="false">
      <c r="A100" s="27" t="s">
        <v>270</v>
      </c>
      <c r="B100" s="27" t="s">
        <v>273</v>
      </c>
      <c r="C100" s="27" t="n">
        <v>20644969</v>
      </c>
      <c r="D100" s="28" t="n">
        <v>0.333333333333333</v>
      </c>
      <c r="E100" s="28" t="n">
        <v>0.5</v>
      </c>
      <c r="F100" s="27" t="s">
        <v>127</v>
      </c>
      <c r="G100" s="27" t="s">
        <v>128</v>
      </c>
      <c r="H100" s="27" t="s">
        <v>17</v>
      </c>
      <c r="I100" s="29" t="s">
        <v>274</v>
      </c>
    </row>
    <row r="101" customFormat="false" ht="15" hidden="false" customHeight="false" outlineLevel="0" collapsed="false">
      <c r="A101" s="27" t="s">
        <v>275</v>
      </c>
      <c r="B101" s="27" t="s">
        <v>276</v>
      </c>
      <c r="C101" s="27" t="n">
        <v>33347398</v>
      </c>
      <c r="D101" s="28" t="n">
        <v>0.333333333333333</v>
      </c>
      <c r="E101" s="28" t="n">
        <v>0.5</v>
      </c>
      <c r="F101" s="27" t="s">
        <v>133</v>
      </c>
      <c r="G101" s="27" t="s">
        <v>128</v>
      </c>
      <c r="H101" s="27" t="s">
        <v>17</v>
      </c>
      <c r="I101" s="29" t="s">
        <v>15</v>
      </c>
    </row>
    <row r="102" customFormat="false" ht="15" hidden="false" customHeight="false" outlineLevel="0" collapsed="false">
      <c r="A102" s="27" t="s">
        <v>275</v>
      </c>
      <c r="B102" s="27" t="s">
        <v>277</v>
      </c>
      <c r="C102" s="27" t="n">
        <v>39166055</v>
      </c>
      <c r="D102" s="28" t="n">
        <v>0.333333333333333</v>
      </c>
      <c r="E102" s="28" t="n">
        <v>0.5</v>
      </c>
      <c r="F102" s="27" t="s">
        <v>133</v>
      </c>
      <c r="G102" s="27" t="s">
        <v>128</v>
      </c>
      <c r="H102" s="27" t="s">
        <v>16</v>
      </c>
      <c r="I102" s="29" t="s">
        <v>240</v>
      </c>
    </row>
    <row r="103" customFormat="false" ht="15" hidden="false" customHeight="false" outlineLevel="0" collapsed="false">
      <c r="A103" s="27" t="s">
        <v>275</v>
      </c>
      <c r="B103" s="27" t="s">
        <v>272</v>
      </c>
      <c r="C103" s="27" t="n">
        <v>41613259</v>
      </c>
      <c r="D103" s="28" t="n">
        <v>0.333333333333333</v>
      </c>
      <c r="E103" s="28" t="n">
        <v>0.5</v>
      </c>
      <c r="F103" s="27" t="s">
        <v>133</v>
      </c>
      <c r="G103" s="27" t="s">
        <v>128</v>
      </c>
      <c r="H103" s="27" t="s">
        <v>13</v>
      </c>
      <c r="I103" s="29" t="s">
        <v>274</v>
      </c>
    </row>
    <row r="104" customFormat="false" ht="15" hidden="false" customHeight="false" outlineLevel="0" collapsed="false">
      <c r="A104" s="27" t="s">
        <v>278</v>
      </c>
      <c r="B104" s="27" t="s">
        <v>207</v>
      </c>
      <c r="C104" s="27" t="n">
        <v>40583326</v>
      </c>
      <c r="D104" s="28" t="n">
        <v>0.333333333333333</v>
      </c>
      <c r="E104" s="28" t="n">
        <v>0.5</v>
      </c>
      <c r="F104" s="27" t="s">
        <v>138</v>
      </c>
      <c r="G104" s="27" t="s">
        <v>128</v>
      </c>
      <c r="H104" s="27" t="s">
        <v>16</v>
      </c>
      <c r="I104" s="29" t="s">
        <v>15</v>
      </c>
    </row>
    <row r="105" customFormat="false" ht="15" hidden="false" customHeight="false" outlineLevel="0" collapsed="false">
      <c r="A105" s="27" t="s">
        <v>278</v>
      </c>
      <c r="B105" s="27" t="s">
        <v>195</v>
      </c>
      <c r="C105" s="27" t="n">
        <v>22161223</v>
      </c>
      <c r="D105" s="28" t="n">
        <v>0.333333333333333</v>
      </c>
      <c r="E105" s="28" t="n">
        <v>0.5</v>
      </c>
      <c r="F105" s="27" t="s">
        <v>138</v>
      </c>
      <c r="G105" s="27" t="s">
        <v>128</v>
      </c>
      <c r="H105" s="27" t="s">
        <v>13</v>
      </c>
      <c r="I105" s="29" t="s">
        <v>240</v>
      </c>
    </row>
    <row r="106" customFormat="false" ht="15" hidden="false" customHeight="false" outlineLevel="0" collapsed="false">
      <c r="A106" s="27" t="s">
        <v>278</v>
      </c>
      <c r="B106" s="27" t="s">
        <v>146</v>
      </c>
      <c r="C106" s="27" t="n">
        <v>29658496</v>
      </c>
      <c r="D106" s="28" t="n">
        <v>0.333333333333333</v>
      </c>
      <c r="E106" s="28" t="n">
        <v>0.5</v>
      </c>
      <c r="F106" s="27" t="s">
        <v>138</v>
      </c>
      <c r="G106" s="27" t="s">
        <v>128</v>
      </c>
      <c r="H106" s="27" t="s">
        <v>17</v>
      </c>
      <c r="I106" s="29" t="s">
        <v>274</v>
      </c>
    </row>
    <row r="107" customFormat="false" ht="15" hidden="false" customHeight="false" outlineLevel="0" collapsed="false">
      <c r="A107" s="27" t="s">
        <v>279</v>
      </c>
      <c r="B107" s="27" t="s">
        <v>198</v>
      </c>
      <c r="C107" s="27" t="n">
        <v>22416209</v>
      </c>
      <c r="D107" s="28" t="n">
        <v>0.333333333333333</v>
      </c>
      <c r="E107" s="28" t="n">
        <v>0.5</v>
      </c>
      <c r="F107" s="27" t="s">
        <v>144</v>
      </c>
      <c r="G107" s="27" t="s">
        <v>128</v>
      </c>
      <c r="H107" s="27" t="s">
        <v>17</v>
      </c>
      <c r="I107" s="29" t="s">
        <v>15</v>
      </c>
    </row>
    <row r="108" customFormat="false" ht="15" hidden="false" customHeight="false" outlineLevel="0" collapsed="false">
      <c r="A108" s="27" t="s">
        <v>279</v>
      </c>
      <c r="B108" s="27" t="s">
        <v>207</v>
      </c>
      <c r="C108" s="27" t="n">
        <v>40583326</v>
      </c>
      <c r="D108" s="28" t="n">
        <v>0.333333333333333</v>
      </c>
      <c r="E108" s="28" t="n">
        <v>0.5</v>
      </c>
      <c r="F108" s="27" t="s">
        <v>144</v>
      </c>
      <c r="G108" s="27" t="s">
        <v>128</v>
      </c>
      <c r="H108" s="27" t="s">
        <v>16</v>
      </c>
      <c r="I108" s="29" t="s">
        <v>240</v>
      </c>
    </row>
    <row r="109" customFormat="false" ht="15" hidden="false" customHeight="false" outlineLevel="0" collapsed="false">
      <c r="A109" s="27" t="s">
        <v>279</v>
      </c>
      <c r="B109" s="27" t="s">
        <v>158</v>
      </c>
      <c r="C109" s="27" t="n">
        <v>44205084</v>
      </c>
      <c r="D109" s="28" t="n">
        <v>0.333333333333333</v>
      </c>
      <c r="E109" s="28" t="n">
        <v>0.5</v>
      </c>
      <c r="F109" s="27" t="s">
        <v>144</v>
      </c>
      <c r="G109" s="27" t="s">
        <v>128</v>
      </c>
      <c r="H109" s="27" t="s">
        <v>13</v>
      </c>
      <c r="I109" s="29" t="s">
        <v>274</v>
      </c>
    </row>
    <row r="110" customFormat="false" ht="15" hidden="false" customHeight="false" outlineLevel="0" collapsed="false">
      <c r="A110" s="27" t="s">
        <v>280</v>
      </c>
      <c r="B110" s="27" t="s">
        <v>215</v>
      </c>
      <c r="C110" s="27" t="n">
        <v>31301492</v>
      </c>
      <c r="D110" s="28" t="n">
        <v>0.333333333333333</v>
      </c>
      <c r="E110" s="28" t="n">
        <v>0.5</v>
      </c>
      <c r="F110" s="27" t="s">
        <v>149</v>
      </c>
      <c r="G110" s="27" t="s">
        <v>128</v>
      </c>
      <c r="H110" s="27" t="s">
        <v>13</v>
      </c>
      <c r="I110" s="29" t="s">
        <v>15</v>
      </c>
    </row>
    <row r="111" customFormat="false" ht="15" hidden="false" customHeight="false" outlineLevel="0" collapsed="false">
      <c r="A111" s="27" t="s">
        <v>280</v>
      </c>
      <c r="B111" s="27" t="s">
        <v>281</v>
      </c>
      <c r="C111" s="27" t="n">
        <v>34377173</v>
      </c>
      <c r="D111" s="28" t="n">
        <v>0.333333333333333</v>
      </c>
      <c r="E111" s="28" t="n">
        <v>0.5</v>
      </c>
      <c r="F111" s="27" t="s">
        <v>149</v>
      </c>
      <c r="G111" s="27" t="s">
        <v>128</v>
      </c>
      <c r="H111" s="27" t="s">
        <v>16</v>
      </c>
      <c r="I111" s="29" t="s">
        <v>240</v>
      </c>
    </row>
    <row r="112" customFormat="false" ht="15" hidden="false" customHeight="false" outlineLevel="0" collapsed="false">
      <c r="A112" s="27" t="s">
        <v>280</v>
      </c>
      <c r="B112" s="27" t="s">
        <v>282</v>
      </c>
      <c r="C112" s="27" t="n">
        <v>47657166</v>
      </c>
      <c r="D112" s="28" t="n">
        <v>0.333333333333333</v>
      </c>
      <c r="E112" s="28" t="n">
        <v>0.5</v>
      </c>
      <c r="F112" s="27" t="s">
        <v>149</v>
      </c>
      <c r="G112" s="27" t="s">
        <v>128</v>
      </c>
      <c r="H112" s="27" t="s">
        <v>17</v>
      </c>
      <c r="I112" s="29" t="s">
        <v>274</v>
      </c>
    </row>
    <row r="113" customFormat="false" ht="15" hidden="false" customHeight="false" outlineLevel="0" collapsed="false">
      <c r="A113" s="27" t="s">
        <v>283</v>
      </c>
      <c r="B113" s="27" t="s">
        <v>168</v>
      </c>
      <c r="C113" s="27" t="n">
        <v>20100804</v>
      </c>
      <c r="D113" s="28" t="n">
        <v>0.333333333333333</v>
      </c>
      <c r="E113" s="28" t="n">
        <v>0.5</v>
      </c>
      <c r="F113" s="27" t="s">
        <v>153</v>
      </c>
      <c r="G113" s="27" t="s">
        <v>128</v>
      </c>
      <c r="H113" s="27" t="s">
        <v>13</v>
      </c>
      <c r="I113" s="29" t="s">
        <v>15</v>
      </c>
    </row>
    <row r="114" customFormat="false" ht="15" hidden="false" customHeight="false" outlineLevel="0" collapsed="false">
      <c r="A114" s="27" t="s">
        <v>283</v>
      </c>
      <c r="B114" s="27" t="s">
        <v>214</v>
      </c>
      <c r="C114" s="27" t="n">
        <v>41942626</v>
      </c>
      <c r="D114" s="28" t="n">
        <v>0.333333333333333</v>
      </c>
      <c r="E114" s="28" t="n">
        <v>0.5</v>
      </c>
      <c r="F114" s="27" t="s">
        <v>153</v>
      </c>
      <c r="G114" s="27" t="s">
        <v>128</v>
      </c>
      <c r="H114" s="27" t="s">
        <v>16</v>
      </c>
      <c r="I114" s="29" t="s">
        <v>240</v>
      </c>
    </row>
    <row r="115" customFormat="false" ht="15" hidden="false" customHeight="false" outlineLevel="0" collapsed="false">
      <c r="A115" s="27" t="s">
        <v>283</v>
      </c>
      <c r="B115" s="27" t="s">
        <v>159</v>
      </c>
      <c r="C115" s="27" t="n">
        <v>20409525</v>
      </c>
      <c r="D115" s="28" t="n">
        <v>0.333333333333333</v>
      </c>
      <c r="E115" s="28" t="n">
        <v>0.5</v>
      </c>
      <c r="F115" s="27" t="s">
        <v>153</v>
      </c>
      <c r="G115" s="27" t="s">
        <v>128</v>
      </c>
      <c r="H115" s="27" t="s">
        <v>17</v>
      </c>
      <c r="I115" s="29" t="s">
        <v>274</v>
      </c>
    </row>
    <row r="116" customFormat="false" ht="15" hidden="false" customHeight="false" outlineLevel="0" collapsed="false">
      <c r="A116" s="27" t="s">
        <v>284</v>
      </c>
      <c r="B116" s="27" t="s">
        <v>178</v>
      </c>
      <c r="C116" s="27" t="n">
        <v>49470417</v>
      </c>
      <c r="D116" s="28" t="n">
        <v>0.333333333333333</v>
      </c>
      <c r="E116" s="28" t="n">
        <v>0.5</v>
      </c>
      <c r="F116" s="27" t="s">
        <v>157</v>
      </c>
      <c r="G116" s="27" t="s">
        <v>128</v>
      </c>
      <c r="H116" s="27" t="s">
        <v>13</v>
      </c>
      <c r="I116" s="29" t="s">
        <v>15</v>
      </c>
    </row>
    <row r="117" customFormat="false" ht="15" hidden="false" customHeight="false" outlineLevel="0" collapsed="false">
      <c r="A117" s="27" t="s">
        <v>284</v>
      </c>
      <c r="B117" s="27" t="s">
        <v>285</v>
      </c>
      <c r="C117" s="27" t="n">
        <v>38370985</v>
      </c>
      <c r="D117" s="28" t="n">
        <v>0.333333333333333</v>
      </c>
      <c r="E117" s="28" t="n">
        <v>0.5</v>
      </c>
      <c r="F117" s="27" t="s">
        <v>157</v>
      </c>
      <c r="G117" s="27" t="s">
        <v>128</v>
      </c>
      <c r="H117" s="27" t="s">
        <v>17</v>
      </c>
      <c r="I117" s="29" t="s">
        <v>240</v>
      </c>
    </row>
    <row r="118" customFormat="false" ht="15" hidden="false" customHeight="false" outlineLevel="0" collapsed="false">
      <c r="A118" s="27" t="s">
        <v>284</v>
      </c>
      <c r="B118" s="27" t="s">
        <v>281</v>
      </c>
      <c r="C118" s="27" t="n">
        <v>34377173</v>
      </c>
      <c r="D118" s="28" t="n">
        <v>0.333333333333333</v>
      </c>
      <c r="E118" s="28" t="n">
        <v>0.5</v>
      </c>
      <c r="F118" s="27" t="s">
        <v>157</v>
      </c>
      <c r="G118" s="27" t="s">
        <v>128</v>
      </c>
      <c r="H118" s="27" t="s">
        <v>16</v>
      </c>
      <c r="I118" s="29" t="s">
        <v>274</v>
      </c>
    </row>
    <row r="119" customFormat="false" ht="15" hidden="false" customHeight="false" outlineLevel="0" collapsed="false">
      <c r="A119" s="27" t="s">
        <v>286</v>
      </c>
      <c r="B119" s="27" t="s">
        <v>204</v>
      </c>
      <c r="C119" s="27" t="n">
        <v>30062702</v>
      </c>
      <c r="D119" s="28" t="n">
        <v>0.333333333333333</v>
      </c>
      <c r="E119" s="28" t="n">
        <v>0.5</v>
      </c>
      <c r="F119" s="27" t="s">
        <v>161</v>
      </c>
      <c r="G119" s="27" t="s">
        <v>128</v>
      </c>
      <c r="H119" s="27" t="s">
        <v>17</v>
      </c>
      <c r="I119" s="29" t="s">
        <v>15</v>
      </c>
    </row>
    <row r="120" customFormat="false" ht="15" hidden="false" customHeight="false" outlineLevel="0" collapsed="false">
      <c r="A120" s="27" t="s">
        <v>286</v>
      </c>
      <c r="B120" s="27" t="s">
        <v>287</v>
      </c>
      <c r="C120" s="27" t="n">
        <v>21972658</v>
      </c>
      <c r="D120" s="28" t="n">
        <v>0.333333333333333</v>
      </c>
      <c r="E120" s="28" t="n">
        <v>0.5</v>
      </c>
      <c r="F120" s="27" t="s">
        <v>161</v>
      </c>
      <c r="G120" s="27" t="s">
        <v>128</v>
      </c>
      <c r="H120" s="27" t="s">
        <v>16</v>
      </c>
      <c r="I120" s="29" t="s">
        <v>240</v>
      </c>
    </row>
    <row r="121" customFormat="false" ht="15" hidden="false" customHeight="false" outlineLevel="0" collapsed="false">
      <c r="A121" s="27" t="s">
        <v>286</v>
      </c>
      <c r="B121" s="27" t="s">
        <v>288</v>
      </c>
      <c r="C121" s="27" t="n">
        <v>22472550</v>
      </c>
      <c r="D121" s="28" t="n">
        <v>0.333333333333333</v>
      </c>
      <c r="E121" s="28" t="n">
        <v>0.5</v>
      </c>
      <c r="F121" s="27" t="s">
        <v>161</v>
      </c>
      <c r="G121" s="27" t="s">
        <v>128</v>
      </c>
      <c r="H121" s="27" t="s">
        <v>13</v>
      </c>
      <c r="I121" s="29" t="s">
        <v>274</v>
      </c>
    </row>
    <row r="122" customFormat="false" ht="15" hidden="false" customHeight="false" outlineLevel="0" collapsed="false">
      <c r="A122" s="27" t="s">
        <v>289</v>
      </c>
      <c r="B122" s="27" t="s">
        <v>140</v>
      </c>
      <c r="C122" s="27" t="n">
        <v>21615461</v>
      </c>
      <c r="D122" s="28" t="n">
        <v>0.333333333333333</v>
      </c>
      <c r="E122" s="28" t="n">
        <v>0.5</v>
      </c>
      <c r="F122" s="27" t="s">
        <v>166</v>
      </c>
      <c r="G122" s="27" t="s">
        <v>128</v>
      </c>
      <c r="H122" s="27" t="s">
        <v>16</v>
      </c>
      <c r="I122" s="29" t="s">
        <v>15</v>
      </c>
    </row>
    <row r="123" customFormat="false" ht="15" hidden="false" customHeight="false" outlineLevel="0" collapsed="false">
      <c r="A123" s="27" t="s">
        <v>289</v>
      </c>
      <c r="B123" s="27" t="s">
        <v>185</v>
      </c>
      <c r="C123" s="27" t="n">
        <v>21530321</v>
      </c>
      <c r="D123" s="28" t="n">
        <v>0.333333333333333</v>
      </c>
      <c r="E123" s="28" t="n">
        <v>0.5</v>
      </c>
      <c r="F123" s="27" t="s">
        <v>166</v>
      </c>
      <c r="G123" s="27" t="s">
        <v>128</v>
      </c>
      <c r="H123" s="27" t="s">
        <v>17</v>
      </c>
      <c r="I123" s="29" t="s">
        <v>240</v>
      </c>
    </row>
    <row r="124" customFormat="false" ht="15" hidden="false" customHeight="false" outlineLevel="0" collapsed="false">
      <c r="A124" s="27" t="s">
        <v>289</v>
      </c>
      <c r="B124" s="27" t="s">
        <v>217</v>
      </c>
      <c r="C124" s="27" t="n">
        <v>49544681</v>
      </c>
      <c r="D124" s="28" t="n">
        <v>0.333333333333333</v>
      </c>
      <c r="E124" s="28" t="n">
        <v>0.5</v>
      </c>
      <c r="F124" s="27" t="s">
        <v>166</v>
      </c>
      <c r="G124" s="27" t="s">
        <v>128</v>
      </c>
      <c r="H124" s="27" t="s">
        <v>13</v>
      </c>
      <c r="I124" s="29" t="s">
        <v>274</v>
      </c>
    </row>
    <row r="125" customFormat="false" ht="15" hidden="false" customHeight="false" outlineLevel="0" collapsed="false">
      <c r="A125" s="27" t="s">
        <v>290</v>
      </c>
      <c r="B125" s="27" t="s">
        <v>163</v>
      </c>
      <c r="C125" s="27" t="n">
        <v>43153543</v>
      </c>
      <c r="D125" s="28" t="n">
        <v>0.333333333333333</v>
      </c>
      <c r="E125" s="28" t="n">
        <v>0.5</v>
      </c>
      <c r="F125" s="27" t="s">
        <v>171</v>
      </c>
      <c r="G125" s="27" t="s">
        <v>128</v>
      </c>
      <c r="H125" s="27" t="s">
        <v>13</v>
      </c>
      <c r="I125" s="29" t="s">
        <v>15</v>
      </c>
    </row>
    <row r="126" customFormat="false" ht="15" hidden="false" customHeight="false" outlineLevel="0" collapsed="false">
      <c r="A126" s="27" t="s">
        <v>290</v>
      </c>
      <c r="B126" s="27" t="s">
        <v>282</v>
      </c>
      <c r="C126" s="27" t="n">
        <v>47657166</v>
      </c>
      <c r="D126" s="28" t="n">
        <v>0.333333333333333</v>
      </c>
      <c r="E126" s="28" t="n">
        <v>0.5</v>
      </c>
      <c r="F126" s="27" t="s">
        <v>171</v>
      </c>
      <c r="G126" s="27" t="s">
        <v>128</v>
      </c>
      <c r="H126" s="27" t="s">
        <v>17</v>
      </c>
      <c r="I126" s="29" t="s">
        <v>240</v>
      </c>
    </row>
    <row r="127" customFormat="false" ht="15" hidden="false" customHeight="false" outlineLevel="0" collapsed="false">
      <c r="A127" s="27" t="s">
        <v>290</v>
      </c>
      <c r="B127" s="27" t="s">
        <v>140</v>
      </c>
      <c r="C127" s="27" t="n">
        <v>21615461</v>
      </c>
      <c r="D127" s="28" t="n">
        <v>0.333333333333333</v>
      </c>
      <c r="E127" s="28" t="n">
        <v>0.5</v>
      </c>
      <c r="F127" s="27" t="s">
        <v>171</v>
      </c>
      <c r="G127" s="27" t="s">
        <v>128</v>
      </c>
      <c r="H127" s="27" t="s">
        <v>16</v>
      </c>
      <c r="I127" s="29" t="s">
        <v>274</v>
      </c>
    </row>
    <row r="128" customFormat="false" ht="15" hidden="false" customHeight="false" outlineLevel="0" collapsed="false">
      <c r="A128" s="27" t="s">
        <v>291</v>
      </c>
      <c r="B128" s="27" t="s">
        <v>193</v>
      </c>
      <c r="C128" s="27" t="n">
        <v>29536550</v>
      </c>
      <c r="D128" s="28" t="n">
        <v>0.333333333333333</v>
      </c>
      <c r="E128" s="28" t="n">
        <v>0.5</v>
      </c>
      <c r="F128" s="27" t="s">
        <v>175</v>
      </c>
      <c r="G128" s="27" t="s">
        <v>128</v>
      </c>
      <c r="H128" s="27" t="s">
        <v>17</v>
      </c>
      <c r="I128" s="29" t="s">
        <v>15</v>
      </c>
    </row>
    <row r="129" customFormat="false" ht="15" hidden="false" customHeight="false" outlineLevel="0" collapsed="false">
      <c r="A129" s="27" t="s">
        <v>291</v>
      </c>
      <c r="B129" s="27" t="s">
        <v>292</v>
      </c>
      <c r="C129" s="27" t="n">
        <v>38345393</v>
      </c>
      <c r="D129" s="28" t="n">
        <v>0.333333333333333</v>
      </c>
      <c r="E129" s="28" t="n">
        <v>0.5</v>
      </c>
      <c r="F129" s="27" t="s">
        <v>175</v>
      </c>
      <c r="G129" s="27" t="s">
        <v>128</v>
      </c>
      <c r="H129" s="27" t="s">
        <v>16</v>
      </c>
      <c r="I129" s="29" t="s">
        <v>240</v>
      </c>
    </row>
    <row r="130" customFormat="false" ht="15" hidden="false" customHeight="false" outlineLevel="0" collapsed="false">
      <c r="A130" s="27" t="s">
        <v>291</v>
      </c>
      <c r="B130" s="27" t="s">
        <v>215</v>
      </c>
      <c r="C130" s="27" t="n">
        <v>31301492</v>
      </c>
      <c r="D130" s="28" t="n">
        <v>0.333333333333333</v>
      </c>
      <c r="E130" s="28" t="n">
        <v>0.5</v>
      </c>
      <c r="F130" s="27" t="s">
        <v>175</v>
      </c>
      <c r="G130" s="27" t="s">
        <v>128</v>
      </c>
      <c r="H130" s="27" t="s">
        <v>13</v>
      </c>
      <c r="I130" s="29" t="s">
        <v>274</v>
      </c>
    </row>
    <row r="131" customFormat="false" ht="15" hidden="false" customHeight="false" outlineLevel="0" collapsed="false">
      <c r="A131" s="27" t="s">
        <v>293</v>
      </c>
      <c r="B131" s="27" t="s">
        <v>294</v>
      </c>
      <c r="C131" s="27" t="n">
        <v>32980779</v>
      </c>
      <c r="D131" s="28" t="n">
        <v>0.333333333333333</v>
      </c>
      <c r="E131" s="28" t="n">
        <v>0.5</v>
      </c>
      <c r="F131" s="27" t="s">
        <v>179</v>
      </c>
      <c r="G131" s="27" t="s">
        <v>128</v>
      </c>
      <c r="H131" s="27" t="s">
        <v>13</v>
      </c>
      <c r="I131" s="29" t="s">
        <v>15</v>
      </c>
    </row>
    <row r="132" customFormat="false" ht="15" hidden="false" customHeight="false" outlineLevel="0" collapsed="false">
      <c r="A132" s="27" t="s">
        <v>293</v>
      </c>
      <c r="B132" s="27" t="s">
        <v>159</v>
      </c>
      <c r="C132" s="27" t="n">
        <v>20409525</v>
      </c>
      <c r="D132" s="28" t="n">
        <v>0.333333333333333</v>
      </c>
      <c r="E132" s="28" t="n">
        <v>0.5</v>
      </c>
      <c r="F132" s="27" t="s">
        <v>179</v>
      </c>
      <c r="G132" s="27" t="s">
        <v>128</v>
      </c>
      <c r="H132" s="27" t="s">
        <v>17</v>
      </c>
      <c r="I132" s="29" t="s">
        <v>240</v>
      </c>
    </row>
    <row r="133" customFormat="false" ht="15" hidden="false" customHeight="false" outlineLevel="0" collapsed="false">
      <c r="A133" s="27" t="s">
        <v>293</v>
      </c>
      <c r="B133" s="27" t="s">
        <v>188</v>
      </c>
      <c r="C133" s="27" t="n">
        <v>40521040</v>
      </c>
      <c r="D133" s="28" t="n">
        <v>0.333333333333333</v>
      </c>
      <c r="E133" s="28" t="n">
        <v>0.5</v>
      </c>
      <c r="F133" s="27" t="s">
        <v>179</v>
      </c>
      <c r="G133" s="27" t="s">
        <v>128</v>
      </c>
      <c r="H133" s="27" t="s">
        <v>16</v>
      </c>
      <c r="I133" s="29" t="s">
        <v>274</v>
      </c>
    </row>
    <row r="134" customFormat="false" ht="15" hidden="false" customHeight="false" outlineLevel="0" collapsed="false">
      <c r="A134" s="27" t="s">
        <v>295</v>
      </c>
      <c r="B134" s="27" t="s">
        <v>296</v>
      </c>
      <c r="C134" s="27" t="n">
        <v>44062850</v>
      </c>
      <c r="D134" s="28" t="n">
        <v>0.333333333333333</v>
      </c>
      <c r="E134" s="28" t="n">
        <v>0.5</v>
      </c>
      <c r="F134" s="27" t="s">
        <v>183</v>
      </c>
      <c r="G134" s="27" t="s">
        <v>128</v>
      </c>
      <c r="H134" s="27" t="s">
        <v>17</v>
      </c>
      <c r="I134" s="29" t="s">
        <v>15</v>
      </c>
    </row>
    <row r="135" customFormat="false" ht="15" hidden="false" customHeight="false" outlineLevel="0" collapsed="false">
      <c r="A135" s="27" t="s">
        <v>295</v>
      </c>
      <c r="B135" s="27" t="s">
        <v>137</v>
      </c>
      <c r="C135" s="27" t="n">
        <v>47824462</v>
      </c>
      <c r="D135" s="28" t="n">
        <v>0.333333333333333</v>
      </c>
      <c r="E135" s="28" t="n">
        <v>0.5</v>
      </c>
      <c r="F135" s="27" t="s">
        <v>183</v>
      </c>
      <c r="G135" s="27" t="s">
        <v>128</v>
      </c>
      <c r="H135" s="27" t="s">
        <v>13</v>
      </c>
      <c r="I135" s="29" t="s">
        <v>240</v>
      </c>
    </row>
    <row r="136" customFormat="false" ht="15" hidden="false" customHeight="false" outlineLevel="0" collapsed="false">
      <c r="A136" s="27" t="s">
        <v>295</v>
      </c>
      <c r="B136" s="27" t="s">
        <v>287</v>
      </c>
      <c r="C136" s="27" t="n">
        <v>21972658</v>
      </c>
      <c r="D136" s="28" t="n">
        <v>0.333333333333333</v>
      </c>
      <c r="E136" s="28" t="n">
        <v>0.5</v>
      </c>
      <c r="F136" s="27" t="s">
        <v>183</v>
      </c>
      <c r="G136" s="27" t="s">
        <v>128</v>
      </c>
      <c r="H136" s="27" t="s">
        <v>16</v>
      </c>
      <c r="I136" s="29" t="s">
        <v>274</v>
      </c>
    </row>
    <row r="137" customFormat="false" ht="15" hidden="false" customHeight="false" outlineLevel="0" collapsed="false">
      <c r="A137" s="27" t="s">
        <v>297</v>
      </c>
      <c r="B137" s="27" t="s">
        <v>298</v>
      </c>
      <c r="C137" s="27" t="n">
        <v>34738191</v>
      </c>
      <c r="D137" s="28" t="n">
        <v>0.333333333333333</v>
      </c>
      <c r="E137" s="28" t="n">
        <v>0.5</v>
      </c>
      <c r="F137" s="27" t="s">
        <v>186</v>
      </c>
      <c r="G137" s="27" t="s">
        <v>128</v>
      </c>
      <c r="H137" s="27" t="s">
        <v>13</v>
      </c>
      <c r="I137" s="29" t="s">
        <v>15</v>
      </c>
    </row>
    <row r="138" customFormat="false" ht="15" hidden="false" customHeight="false" outlineLevel="0" collapsed="false">
      <c r="A138" s="27" t="s">
        <v>297</v>
      </c>
      <c r="B138" s="27" t="s">
        <v>299</v>
      </c>
      <c r="C138" s="27" t="n">
        <v>36022263</v>
      </c>
      <c r="D138" s="28" t="n">
        <v>0.333333333333333</v>
      </c>
      <c r="E138" s="28" t="n">
        <v>0.5</v>
      </c>
      <c r="F138" s="27" t="s">
        <v>186</v>
      </c>
      <c r="G138" s="27" t="s">
        <v>128</v>
      </c>
      <c r="H138" s="27" t="s">
        <v>16</v>
      </c>
      <c r="I138" s="29" t="s">
        <v>240</v>
      </c>
    </row>
    <row r="139" customFormat="false" ht="15" hidden="false" customHeight="false" outlineLevel="0" collapsed="false">
      <c r="A139" s="27" t="s">
        <v>297</v>
      </c>
      <c r="B139" s="27" t="s">
        <v>198</v>
      </c>
      <c r="C139" s="27" t="n">
        <v>22416209</v>
      </c>
      <c r="D139" s="28" t="n">
        <v>0.333333333333333</v>
      </c>
      <c r="E139" s="28" t="n">
        <v>0.5</v>
      </c>
      <c r="F139" s="27" t="s">
        <v>186</v>
      </c>
      <c r="G139" s="27" t="s">
        <v>128</v>
      </c>
      <c r="H139" s="27" t="s">
        <v>17</v>
      </c>
      <c r="I139" s="29" t="s">
        <v>274</v>
      </c>
    </row>
    <row r="140" customFormat="false" ht="15" hidden="false" customHeight="false" outlineLevel="0" collapsed="false">
      <c r="A140" s="27" t="s">
        <v>300</v>
      </c>
      <c r="B140" s="27" t="s">
        <v>192</v>
      </c>
      <c r="C140" s="27" t="n">
        <v>45512007</v>
      </c>
      <c r="D140" s="28" t="n">
        <v>0.333333333333333</v>
      </c>
      <c r="E140" s="28" t="n">
        <v>0.5</v>
      </c>
      <c r="F140" s="27" t="s">
        <v>191</v>
      </c>
      <c r="G140" s="27" t="s">
        <v>128</v>
      </c>
      <c r="H140" s="27" t="s">
        <v>13</v>
      </c>
      <c r="I140" s="29" t="s">
        <v>15</v>
      </c>
    </row>
    <row r="141" customFormat="false" ht="15" hidden="false" customHeight="false" outlineLevel="0" collapsed="false">
      <c r="A141" s="30" t="s">
        <v>300</v>
      </c>
      <c r="B141" s="30" t="s">
        <v>271</v>
      </c>
      <c r="C141" s="30" t="n">
        <v>20437825</v>
      </c>
      <c r="D141" s="31" t="n">
        <v>0.333333333333333</v>
      </c>
      <c r="E141" s="31" t="n">
        <v>0.5</v>
      </c>
      <c r="F141" s="30" t="s">
        <v>191</v>
      </c>
      <c r="G141" s="30" t="s">
        <v>128</v>
      </c>
      <c r="H141" s="30" t="s">
        <v>16</v>
      </c>
      <c r="I141" s="29" t="s">
        <v>240</v>
      </c>
    </row>
    <row r="142" customFormat="false" ht="15" hidden="false" customHeight="false" outlineLevel="0" collapsed="false">
      <c r="A142" s="27" t="s">
        <v>300</v>
      </c>
      <c r="B142" s="27" t="s">
        <v>204</v>
      </c>
      <c r="C142" s="27" t="n">
        <v>30062702</v>
      </c>
      <c r="D142" s="28" t="n">
        <v>0.333333333333333</v>
      </c>
      <c r="E142" s="28" t="n">
        <v>0.5</v>
      </c>
      <c r="F142" s="27" t="s">
        <v>191</v>
      </c>
      <c r="G142" s="27" t="s">
        <v>128</v>
      </c>
      <c r="H142" s="27" t="s">
        <v>17</v>
      </c>
      <c r="I142" s="29" t="s">
        <v>274</v>
      </c>
    </row>
    <row r="143" customFormat="false" ht="15" hidden="false" customHeight="false" outlineLevel="0" collapsed="false">
      <c r="A143" s="27" t="s">
        <v>301</v>
      </c>
      <c r="B143" s="27" t="s">
        <v>126</v>
      </c>
      <c r="C143" s="27" t="n">
        <v>41606145</v>
      </c>
      <c r="D143" s="28" t="n">
        <v>0.333333333333333</v>
      </c>
      <c r="E143" s="28" t="n">
        <v>0.5</v>
      </c>
      <c r="F143" s="27" t="s">
        <v>302</v>
      </c>
      <c r="G143" s="27" t="s">
        <v>128</v>
      </c>
      <c r="H143" s="27" t="s">
        <v>13</v>
      </c>
      <c r="I143" s="29" t="s">
        <v>15</v>
      </c>
    </row>
    <row r="144" customFormat="false" ht="15" hidden="false" customHeight="false" outlineLevel="0" collapsed="false">
      <c r="A144" s="27" t="s">
        <v>301</v>
      </c>
      <c r="B144" s="27" t="s">
        <v>204</v>
      </c>
      <c r="C144" s="27" t="n">
        <v>30062702</v>
      </c>
      <c r="D144" s="28" t="n">
        <v>0.333333333333333</v>
      </c>
      <c r="E144" s="28" t="n">
        <v>0.5</v>
      </c>
      <c r="F144" s="27" t="s">
        <v>302</v>
      </c>
      <c r="G144" s="27" t="s">
        <v>128</v>
      </c>
      <c r="H144" s="27" t="s">
        <v>17</v>
      </c>
      <c r="I144" s="29" t="s">
        <v>240</v>
      </c>
    </row>
    <row r="145" customFormat="false" ht="15" hidden="false" customHeight="false" outlineLevel="0" collapsed="false">
      <c r="A145" s="27" t="s">
        <v>301</v>
      </c>
      <c r="B145" s="27" t="s">
        <v>271</v>
      </c>
      <c r="C145" s="27" t="n">
        <v>20437825</v>
      </c>
      <c r="D145" s="28" t="n">
        <v>0.333333333333333</v>
      </c>
      <c r="E145" s="28" t="n">
        <v>0.5</v>
      </c>
      <c r="F145" s="27" t="s">
        <v>302</v>
      </c>
      <c r="G145" s="27" t="s">
        <v>128</v>
      </c>
      <c r="H145" s="27" t="s">
        <v>16</v>
      </c>
      <c r="I145" s="29" t="s">
        <v>274</v>
      </c>
    </row>
    <row r="146" customFormat="false" ht="15" hidden="false" customHeight="false" outlineLevel="0" collapsed="false">
      <c r="A146" s="27" t="s">
        <v>303</v>
      </c>
      <c r="B146" s="27" t="s">
        <v>304</v>
      </c>
      <c r="C146" s="27" t="n">
        <v>28817028</v>
      </c>
      <c r="D146" s="28" t="n">
        <v>0.333333333333333</v>
      </c>
      <c r="E146" s="28" t="n">
        <v>0.5</v>
      </c>
      <c r="F146" s="27" t="s">
        <v>196</v>
      </c>
      <c r="G146" s="27" t="s">
        <v>128</v>
      </c>
      <c r="H146" s="27" t="s">
        <v>13</v>
      </c>
      <c r="I146" s="29" t="s">
        <v>15</v>
      </c>
    </row>
    <row r="147" customFormat="false" ht="15" hidden="false" customHeight="false" outlineLevel="0" collapsed="false">
      <c r="A147" s="27" t="s">
        <v>303</v>
      </c>
      <c r="B147" s="27" t="s">
        <v>296</v>
      </c>
      <c r="C147" s="27" t="n">
        <v>44062850</v>
      </c>
      <c r="D147" s="28" t="n">
        <v>0.333333333333333</v>
      </c>
      <c r="E147" s="28" t="n">
        <v>0.5</v>
      </c>
      <c r="F147" s="27" t="s">
        <v>196</v>
      </c>
      <c r="G147" s="27" t="s">
        <v>128</v>
      </c>
      <c r="H147" s="27" t="s">
        <v>17</v>
      </c>
      <c r="I147" s="29" t="s">
        <v>240</v>
      </c>
    </row>
    <row r="148" customFormat="false" ht="15" hidden="false" customHeight="false" outlineLevel="0" collapsed="false">
      <c r="A148" s="27" t="s">
        <v>303</v>
      </c>
      <c r="B148" s="27" t="s">
        <v>255</v>
      </c>
      <c r="C148" s="27" t="n">
        <v>32124759</v>
      </c>
      <c r="D148" s="28" t="n">
        <v>0.333333333333333</v>
      </c>
      <c r="E148" s="28" t="n">
        <v>0.5</v>
      </c>
      <c r="F148" s="27" t="s">
        <v>196</v>
      </c>
      <c r="G148" s="27" t="s">
        <v>128</v>
      </c>
      <c r="H148" s="27" t="s">
        <v>16</v>
      </c>
      <c r="I148" s="29" t="s">
        <v>274</v>
      </c>
    </row>
    <row r="149" customFormat="false" ht="15" hidden="false" customHeight="false" outlineLevel="0" collapsed="false">
      <c r="A149" s="27" t="s">
        <v>305</v>
      </c>
      <c r="B149" s="27" t="s">
        <v>129</v>
      </c>
      <c r="C149" s="27" t="n">
        <v>20941212</v>
      </c>
      <c r="D149" s="28" t="n">
        <v>0.333333333333333</v>
      </c>
      <c r="E149" s="28" t="n">
        <v>0.5</v>
      </c>
      <c r="F149" s="27" t="s">
        <v>226</v>
      </c>
      <c r="G149" s="27" t="s">
        <v>222</v>
      </c>
      <c r="H149" s="27" t="s">
        <v>16</v>
      </c>
      <c r="I149" s="29" t="s">
        <v>15</v>
      </c>
    </row>
    <row r="150" customFormat="false" ht="15" hidden="false" customHeight="false" outlineLevel="0" collapsed="false">
      <c r="A150" s="27" t="s">
        <v>305</v>
      </c>
      <c r="B150" s="27" t="s">
        <v>212</v>
      </c>
      <c r="C150" s="27" t="n">
        <v>27428326</v>
      </c>
      <c r="D150" s="28" t="n">
        <v>0.333333333333333</v>
      </c>
      <c r="E150" s="28" t="n">
        <v>0.5</v>
      </c>
      <c r="F150" s="27" t="s">
        <v>226</v>
      </c>
      <c r="G150" s="27" t="s">
        <v>222</v>
      </c>
      <c r="H150" s="27" t="s">
        <v>17</v>
      </c>
      <c r="I150" s="29" t="s">
        <v>240</v>
      </c>
    </row>
    <row r="151" customFormat="false" ht="15" hidden="false" customHeight="false" outlineLevel="0" collapsed="false">
      <c r="A151" s="27" t="s">
        <v>305</v>
      </c>
      <c r="B151" s="27" t="s">
        <v>306</v>
      </c>
      <c r="C151" s="27" t="n">
        <v>21479375</v>
      </c>
      <c r="D151" s="28" t="n">
        <v>0.333333333333333</v>
      </c>
      <c r="E151" s="28" t="n">
        <v>0.5</v>
      </c>
      <c r="F151" s="27" t="s">
        <v>226</v>
      </c>
      <c r="G151" s="27" t="s">
        <v>222</v>
      </c>
      <c r="H151" s="27" t="s">
        <v>13</v>
      </c>
      <c r="I151" s="29" t="s">
        <v>274</v>
      </c>
    </row>
    <row r="152" customFormat="false" ht="15" hidden="false" customHeight="false" outlineLevel="0" collapsed="false">
      <c r="A152" s="27" t="s">
        <v>307</v>
      </c>
      <c r="B152" s="27" t="s">
        <v>308</v>
      </c>
      <c r="C152" s="27" t="n">
        <v>46115210</v>
      </c>
      <c r="D152" s="28" t="n">
        <v>0.333333333333333</v>
      </c>
      <c r="E152" s="28" t="n">
        <v>0.5</v>
      </c>
      <c r="F152" s="27" t="s">
        <v>243</v>
      </c>
      <c r="G152" s="27" t="s">
        <v>222</v>
      </c>
      <c r="H152" s="27" t="s">
        <v>13</v>
      </c>
      <c r="I152" s="29" t="s">
        <v>15</v>
      </c>
    </row>
    <row r="153" customFormat="false" ht="15" hidden="false" customHeight="false" outlineLevel="0" collapsed="false">
      <c r="A153" s="27" t="s">
        <v>307</v>
      </c>
      <c r="B153" s="27" t="s">
        <v>309</v>
      </c>
      <c r="C153" s="27" t="n">
        <v>43335491</v>
      </c>
      <c r="D153" s="28" t="n">
        <v>0.333333333333333</v>
      </c>
      <c r="E153" s="28" t="n">
        <v>0.5</v>
      </c>
      <c r="F153" s="27" t="s">
        <v>243</v>
      </c>
      <c r="G153" s="27" t="s">
        <v>222</v>
      </c>
      <c r="H153" s="27" t="s">
        <v>16</v>
      </c>
      <c r="I153" s="29" t="s">
        <v>240</v>
      </c>
    </row>
    <row r="154" customFormat="false" ht="15" hidden="false" customHeight="false" outlineLevel="0" collapsed="false">
      <c r="A154" s="27" t="s">
        <v>307</v>
      </c>
      <c r="B154" s="27" t="s">
        <v>238</v>
      </c>
      <c r="C154" s="27" t="n">
        <v>28174899</v>
      </c>
      <c r="D154" s="28" t="n">
        <v>0.333333333333333</v>
      </c>
      <c r="E154" s="28" t="n">
        <v>0.5</v>
      </c>
      <c r="F154" s="27" t="s">
        <v>243</v>
      </c>
      <c r="G154" s="27" t="s">
        <v>222</v>
      </c>
      <c r="H154" s="27" t="s">
        <v>17</v>
      </c>
      <c r="I154" s="29" t="s">
        <v>274</v>
      </c>
    </row>
    <row r="155" customFormat="false" ht="15" hidden="false" customHeight="false" outlineLevel="0" collapsed="false">
      <c r="A155" s="27" t="s">
        <v>310</v>
      </c>
      <c r="B155" s="27" t="s">
        <v>137</v>
      </c>
      <c r="C155" s="27" t="n">
        <v>47824462</v>
      </c>
      <c r="D155" s="28" t="n">
        <v>0.333333333333333</v>
      </c>
      <c r="E155" s="28" t="n">
        <v>0.5</v>
      </c>
      <c r="F155" s="27" t="s">
        <v>246</v>
      </c>
      <c r="G155" s="27" t="s">
        <v>222</v>
      </c>
      <c r="H155" s="27" t="s">
        <v>13</v>
      </c>
      <c r="I155" s="29" t="s">
        <v>15</v>
      </c>
    </row>
    <row r="156" customFormat="false" ht="15" hidden="false" customHeight="false" outlineLevel="0" collapsed="false">
      <c r="A156" s="27" t="s">
        <v>310</v>
      </c>
      <c r="B156" s="27" t="s">
        <v>249</v>
      </c>
      <c r="C156" s="27" t="n">
        <v>31424197</v>
      </c>
      <c r="D156" s="28" t="n">
        <v>0.333333333333333</v>
      </c>
      <c r="E156" s="28" t="n">
        <v>0.5</v>
      </c>
      <c r="F156" s="27" t="s">
        <v>246</v>
      </c>
      <c r="G156" s="27" t="s">
        <v>222</v>
      </c>
      <c r="H156" s="27" t="s">
        <v>17</v>
      </c>
      <c r="I156" s="29" t="s">
        <v>240</v>
      </c>
    </row>
    <row r="157" customFormat="false" ht="15" hidden="false" customHeight="false" outlineLevel="0" collapsed="false">
      <c r="A157" s="27" t="s">
        <v>310</v>
      </c>
      <c r="B157" s="27" t="s">
        <v>261</v>
      </c>
      <c r="C157" s="27" t="n">
        <v>21990612</v>
      </c>
      <c r="D157" s="28" t="n">
        <v>0.333333333333333</v>
      </c>
      <c r="E157" s="28" t="n">
        <v>0.5</v>
      </c>
      <c r="F157" s="27" t="s">
        <v>246</v>
      </c>
      <c r="G157" s="27" t="s">
        <v>222</v>
      </c>
      <c r="H157" s="27" t="s">
        <v>16</v>
      </c>
      <c r="I157" s="29" t="s">
        <v>274</v>
      </c>
    </row>
    <row r="158" customFormat="false" ht="15" hidden="false" customHeight="false" outlineLevel="0" collapsed="false">
      <c r="A158" s="27" t="s">
        <v>311</v>
      </c>
      <c r="B158" s="27" t="s">
        <v>312</v>
      </c>
      <c r="C158" s="27" t="n">
        <v>28107955</v>
      </c>
      <c r="D158" s="28" t="n">
        <v>0.333333333333333</v>
      </c>
      <c r="E158" s="28" t="n">
        <v>0.5</v>
      </c>
      <c r="F158" s="27" t="s">
        <v>250</v>
      </c>
      <c r="G158" s="27" t="s">
        <v>222</v>
      </c>
      <c r="H158" s="27" t="s">
        <v>17</v>
      </c>
      <c r="I158" s="29" t="s">
        <v>15</v>
      </c>
    </row>
    <row r="159" customFormat="false" ht="15" hidden="false" customHeight="false" outlineLevel="0" collapsed="false">
      <c r="A159" s="27" t="s">
        <v>311</v>
      </c>
      <c r="B159" s="27" t="s">
        <v>251</v>
      </c>
      <c r="C159" s="27" t="n">
        <v>24915990</v>
      </c>
      <c r="D159" s="28" t="n">
        <v>0.333333333333333</v>
      </c>
      <c r="E159" s="28" t="n">
        <v>0.5</v>
      </c>
      <c r="F159" s="27" t="s">
        <v>250</v>
      </c>
      <c r="G159" s="27" t="s">
        <v>222</v>
      </c>
      <c r="H159" s="27" t="s">
        <v>16</v>
      </c>
      <c r="I159" s="29" t="s">
        <v>240</v>
      </c>
    </row>
    <row r="160" customFormat="false" ht="15" hidden="false" customHeight="false" outlineLevel="0" collapsed="false">
      <c r="A160" s="27" t="s">
        <v>311</v>
      </c>
      <c r="B160" s="27" t="s">
        <v>313</v>
      </c>
      <c r="C160" s="27" t="n">
        <v>36071968</v>
      </c>
      <c r="D160" s="28" t="n">
        <v>0.333333333333333</v>
      </c>
      <c r="E160" s="28" t="n">
        <v>0.5</v>
      </c>
      <c r="F160" s="27" t="s">
        <v>250</v>
      </c>
      <c r="G160" s="27" t="s">
        <v>222</v>
      </c>
      <c r="H160" s="27" t="s">
        <v>13</v>
      </c>
      <c r="I160" s="29" t="s">
        <v>274</v>
      </c>
    </row>
    <row r="161" customFormat="false" ht="15" hidden="false" customHeight="false" outlineLevel="0" collapsed="false">
      <c r="A161" s="27" t="s">
        <v>314</v>
      </c>
      <c r="B161" s="27" t="s">
        <v>313</v>
      </c>
      <c r="C161" s="27" t="n">
        <v>36071968</v>
      </c>
      <c r="D161" s="28" t="n">
        <v>0.333333333333333</v>
      </c>
      <c r="E161" s="28" t="n">
        <v>0.5</v>
      </c>
      <c r="F161" s="27" t="s">
        <v>254</v>
      </c>
      <c r="G161" s="27" t="s">
        <v>222</v>
      </c>
      <c r="H161" s="27" t="s">
        <v>13</v>
      </c>
      <c r="I161" s="29" t="s">
        <v>15</v>
      </c>
    </row>
    <row r="162" customFormat="false" ht="15" hidden="false" customHeight="false" outlineLevel="0" collapsed="false">
      <c r="A162" s="27" t="s">
        <v>314</v>
      </c>
      <c r="B162" s="27" t="s">
        <v>256</v>
      </c>
      <c r="C162" s="27" t="n">
        <v>33016514</v>
      </c>
      <c r="D162" s="28" t="n">
        <v>0.333333333333333</v>
      </c>
      <c r="E162" s="28" t="n">
        <v>0.5</v>
      </c>
      <c r="F162" s="27" t="s">
        <v>254</v>
      </c>
      <c r="G162" s="27" t="s">
        <v>222</v>
      </c>
      <c r="H162" s="27" t="s">
        <v>17</v>
      </c>
      <c r="I162" s="29" t="s">
        <v>240</v>
      </c>
    </row>
    <row r="163" customFormat="false" ht="15" hidden="false" customHeight="false" outlineLevel="0" collapsed="false">
      <c r="A163" s="27" t="s">
        <v>314</v>
      </c>
      <c r="B163" s="27" t="s">
        <v>315</v>
      </c>
      <c r="C163" s="27" t="n">
        <v>36809221</v>
      </c>
      <c r="D163" s="28" t="n">
        <v>0.333333333333333</v>
      </c>
      <c r="E163" s="28" t="n">
        <v>0.5</v>
      </c>
      <c r="F163" s="27" t="s">
        <v>254</v>
      </c>
      <c r="G163" s="27" t="s">
        <v>222</v>
      </c>
      <c r="H163" s="27" t="s">
        <v>16</v>
      </c>
      <c r="I163" s="29" t="s">
        <v>274</v>
      </c>
    </row>
    <row r="164" customFormat="false" ht="15" hidden="false" customHeight="false" outlineLevel="0" collapsed="false">
      <c r="A164" s="27" t="s">
        <v>316</v>
      </c>
      <c r="B164" s="27" t="s">
        <v>306</v>
      </c>
      <c r="C164" s="27" t="n">
        <v>21479375</v>
      </c>
      <c r="D164" s="28" t="n">
        <v>0.333333333333333</v>
      </c>
      <c r="E164" s="28" t="n">
        <v>0.5</v>
      </c>
      <c r="F164" s="27" t="s">
        <v>263</v>
      </c>
      <c r="G164" s="27" t="s">
        <v>222</v>
      </c>
      <c r="H164" s="27" t="s">
        <v>13</v>
      </c>
      <c r="I164" s="29" t="s">
        <v>15</v>
      </c>
    </row>
    <row r="165" customFormat="false" ht="15" hidden="false" customHeight="false" outlineLevel="0" collapsed="false">
      <c r="A165" s="27" t="s">
        <v>316</v>
      </c>
      <c r="B165" s="27" t="s">
        <v>150</v>
      </c>
      <c r="C165" s="27" t="n">
        <v>40872222</v>
      </c>
      <c r="D165" s="28" t="n">
        <v>0.333333333333333</v>
      </c>
      <c r="E165" s="28" t="n">
        <v>0.5</v>
      </c>
      <c r="F165" s="27" t="s">
        <v>263</v>
      </c>
      <c r="G165" s="27" t="s">
        <v>222</v>
      </c>
      <c r="H165" s="27" t="s">
        <v>17</v>
      </c>
      <c r="I165" s="29" t="s">
        <v>240</v>
      </c>
    </row>
    <row r="166" customFormat="false" ht="15" hidden="false" customHeight="false" outlineLevel="0" collapsed="false">
      <c r="A166" s="27" t="s">
        <v>316</v>
      </c>
      <c r="B166" s="27" t="s">
        <v>317</v>
      </c>
      <c r="C166" s="27" t="n">
        <v>28960908</v>
      </c>
      <c r="D166" s="28" t="n">
        <v>0.333333333333333</v>
      </c>
      <c r="E166" s="28" t="n">
        <v>0.5</v>
      </c>
      <c r="F166" s="27" t="s">
        <v>263</v>
      </c>
      <c r="G166" s="27" t="s">
        <v>222</v>
      </c>
      <c r="H166" s="27" t="s">
        <v>16</v>
      </c>
      <c r="I166" s="29" t="s">
        <v>274</v>
      </c>
    </row>
    <row r="167" customFormat="false" ht="15" hidden="false" customHeight="false" outlineLevel="0" collapsed="false">
      <c r="A167" s="27" t="s">
        <v>318</v>
      </c>
      <c r="B167" s="27" t="s">
        <v>225</v>
      </c>
      <c r="C167" s="27" t="n">
        <v>49927429</v>
      </c>
      <c r="D167" s="28" t="n">
        <v>0.333333333333333</v>
      </c>
      <c r="E167" s="28" t="n">
        <v>0.5</v>
      </c>
      <c r="F167" s="27" t="s">
        <v>267</v>
      </c>
      <c r="G167" s="27" t="s">
        <v>222</v>
      </c>
      <c r="H167" s="27" t="s">
        <v>17</v>
      </c>
      <c r="I167" s="29" t="s">
        <v>15</v>
      </c>
    </row>
    <row r="168" customFormat="false" ht="15" hidden="false" customHeight="false" outlineLevel="0" collapsed="false">
      <c r="A168" s="27" t="s">
        <v>318</v>
      </c>
      <c r="B168" s="27" t="s">
        <v>126</v>
      </c>
      <c r="C168" s="27" t="n">
        <v>41606145</v>
      </c>
      <c r="D168" s="28" t="n">
        <v>0.333333333333333</v>
      </c>
      <c r="E168" s="28" t="n">
        <v>0.5</v>
      </c>
      <c r="F168" s="27" t="s">
        <v>267</v>
      </c>
      <c r="G168" s="27" t="s">
        <v>222</v>
      </c>
      <c r="H168" s="27" t="s">
        <v>13</v>
      </c>
      <c r="I168" s="29" t="s">
        <v>240</v>
      </c>
    </row>
    <row r="169" customFormat="false" ht="15" hidden="false" customHeight="false" outlineLevel="0" collapsed="false">
      <c r="A169" s="27" t="s">
        <v>318</v>
      </c>
      <c r="B169" s="27" t="s">
        <v>269</v>
      </c>
      <c r="C169" s="27" t="n">
        <v>39381343</v>
      </c>
      <c r="D169" s="28" t="n">
        <v>0.333333333333333</v>
      </c>
      <c r="E169" s="28" t="n">
        <v>0.5</v>
      </c>
      <c r="F169" s="27" t="s">
        <v>267</v>
      </c>
      <c r="G169" s="27" t="s">
        <v>222</v>
      </c>
      <c r="H169" s="27" t="s">
        <v>16</v>
      </c>
      <c r="I169" s="29" t="s">
        <v>274</v>
      </c>
    </row>
    <row r="170" customFormat="false" ht="15" hidden="false" customHeight="false" outlineLevel="0" collapsed="false">
      <c r="A170" s="27" t="s">
        <v>319</v>
      </c>
      <c r="B170" s="27" t="s">
        <v>320</v>
      </c>
      <c r="C170" s="27" t="n">
        <v>43299801</v>
      </c>
      <c r="D170" s="28" t="n">
        <v>0.333333333333333</v>
      </c>
      <c r="E170" s="28" t="n">
        <v>0.5</v>
      </c>
      <c r="F170" s="27" t="s">
        <v>205</v>
      </c>
      <c r="G170" s="27" t="s">
        <v>202</v>
      </c>
      <c r="H170" s="27" t="s">
        <v>13</v>
      </c>
      <c r="I170" s="29" t="s">
        <v>15</v>
      </c>
    </row>
    <row r="171" customFormat="false" ht="15" hidden="false" customHeight="false" outlineLevel="0" collapsed="false">
      <c r="A171" s="27" t="s">
        <v>319</v>
      </c>
      <c r="B171" s="27" t="s">
        <v>236</v>
      </c>
      <c r="C171" s="27" t="n">
        <v>45167258</v>
      </c>
      <c r="D171" s="28" t="n">
        <v>0.333333333333333</v>
      </c>
      <c r="E171" s="28" t="n">
        <v>0.5</v>
      </c>
      <c r="F171" s="27" t="s">
        <v>205</v>
      </c>
      <c r="G171" s="27" t="s">
        <v>202</v>
      </c>
      <c r="H171" s="27" t="s">
        <v>16</v>
      </c>
      <c r="I171" s="29" t="s">
        <v>240</v>
      </c>
    </row>
    <row r="172" customFormat="false" ht="15" hidden="false" customHeight="false" outlineLevel="0" collapsed="false">
      <c r="A172" s="27" t="s">
        <v>319</v>
      </c>
      <c r="B172" s="27" t="s">
        <v>150</v>
      </c>
      <c r="C172" s="27" t="n">
        <v>40872222</v>
      </c>
      <c r="D172" s="28" t="n">
        <v>0.333333333333333</v>
      </c>
      <c r="E172" s="28" t="n">
        <v>0.5</v>
      </c>
      <c r="F172" s="27" t="s">
        <v>205</v>
      </c>
      <c r="G172" s="27" t="s">
        <v>202</v>
      </c>
      <c r="H172" s="27" t="s">
        <v>17</v>
      </c>
      <c r="I172" s="29" t="s">
        <v>274</v>
      </c>
    </row>
    <row r="173" customFormat="false" ht="15" hidden="false" customHeight="false" outlineLevel="0" collapsed="false">
      <c r="A173" s="27" t="s">
        <v>321</v>
      </c>
      <c r="B173" s="27" t="s">
        <v>251</v>
      </c>
      <c r="C173" s="27" t="n">
        <v>24915990</v>
      </c>
      <c r="D173" s="28" t="n">
        <v>0.333333333333333</v>
      </c>
      <c r="E173" s="28" t="n">
        <v>0.5</v>
      </c>
      <c r="F173" s="27" t="s">
        <v>210</v>
      </c>
      <c r="G173" s="27" t="s">
        <v>202</v>
      </c>
      <c r="H173" s="27" t="s">
        <v>16</v>
      </c>
      <c r="I173" s="29" t="s">
        <v>15</v>
      </c>
    </row>
    <row r="174" customFormat="false" ht="15" hidden="false" customHeight="false" outlineLevel="0" collapsed="false">
      <c r="A174" s="27" t="s">
        <v>321</v>
      </c>
      <c r="B174" s="27" t="s">
        <v>322</v>
      </c>
      <c r="C174" s="27" t="n">
        <v>42824331</v>
      </c>
      <c r="D174" s="28" t="n">
        <v>0.333333333333333</v>
      </c>
      <c r="E174" s="28" t="n">
        <v>0.5</v>
      </c>
      <c r="F174" s="27" t="s">
        <v>210</v>
      </c>
      <c r="G174" s="27" t="s">
        <v>202</v>
      </c>
      <c r="H174" s="27" t="s">
        <v>17</v>
      </c>
      <c r="I174" s="29" t="s">
        <v>240</v>
      </c>
    </row>
    <row r="175" customFormat="false" ht="15" hidden="false" customHeight="false" outlineLevel="0" collapsed="false">
      <c r="A175" s="27" t="s">
        <v>321</v>
      </c>
      <c r="B175" s="27" t="s">
        <v>320</v>
      </c>
      <c r="C175" s="27" t="n">
        <v>43299801</v>
      </c>
      <c r="D175" s="28" t="n">
        <v>0.333333333333333</v>
      </c>
      <c r="E175" s="28" t="n">
        <v>0.5</v>
      </c>
      <c r="F175" s="27" t="s">
        <v>210</v>
      </c>
      <c r="G175" s="27" t="s">
        <v>202</v>
      </c>
      <c r="H175" s="27" t="s">
        <v>13</v>
      </c>
      <c r="I175" s="29" t="s">
        <v>274</v>
      </c>
    </row>
    <row r="176" customFormat="false" ht="15" hidden="false" customHeight="false" outlineLevel="0" collapsed="false">
      <c r="A176" s="27" t="s">
        <v>323</v>
      </c>
      <c r="B176" s="27" t="s">
        <v>324</v>
      </c>
      <c r="C176" s="27" t="n">
        <v>24204584</v>
      </c>
      <c r="D176" s="28" t="n">
        <v>0.333333333333333</v>
      </c>
      <c r="E176" s="28" t="n">
        <v>0.5</v>
      </c>
      <c r="F176" s="27" t="s">
        <v>213</v>
      </c>
      <c r="G176" s="27" t="s">
        <v>202</v>
      </c>
      <c r="H176" s="27" t="s">
        <v>13</v>
      </c>
      <c r="I176" s="29" t="s">
        <v>15</v>
      </c>
    </row>
    <row r="177" customFormat="false" ht="15" hidden="false" customHeight="false" outlineLevel="0" collapsed="false">
      <c r="A177" s="27" t="s">
        <v>323</v>
      </c>
      <c r="B177" s="27" t="s">
        <v>325</v>
      </c>
      <c r="C177" s="27" t="n">
        <v>44046999</v>
      </c>
      <c r="D177" s="28" t="n">
        <v>0.333333333333333</v>
      </c>
      <c r="E177" s="28" t="n">
        <v>0.5</v>
      </c>
      <c r="F177" s="27" t="s">
        <v>213</v>
      </c>
      <c r="G177" s="27" t="s">
        <v>202</v>
      </c>
      <c r="H177" s="27" t="s">
        <v>16</v>
      </c>
      <c r="I177" s="29" t="s">
        <v>240</v>
      </c>
    </row>
    <row r="178" customFormat="false" ht="15" hidden="false" customHeight="false" outlineLevel="0" collapsed="false">
      <c r="A178" s="27" t="s">
        <v>323</v>
      </c>
      <c r="B178" s="27" t="s">
        <v>193</v>
      </c>
      <c r="C178" s="27" t="n">
        <v>29536550</v>
      </c>
      <c r="D178" s="28" t="n">
        <v>0.333333333333333</v>
      </c>
      <c r="E178" s="28" t="n">
        <v>0.5</v>
      </c>
      <c r="F178" s="27" t="s">
        <v>213</v>
      </c>
      <c r="G178" s="27" t="s">
        <v>202</v>
      </c>
      <c r="H178" s="27" t="s">
        <v>17</v>
      </c>
      <c r="I178" s="29" t="s">
        <v>274</v>
      </c>
    </row>
    <row r="179" customFormat="false" ht="15" hidden="false" customHeight="false" outlineLevel="0" collapsed="false">
      <c r="A179" s="27" t="s">
        <v>326</v>
      </c>
      <c r="B179" s="27" t="s">
        <v>325</v>
      </c>
      <c r="C179" s="27" t="n">
        <v>44046999</v>
      </c>
      <c r="D179" s="28" t="n">
        <v>0.333333333333333</v>
      </c>
      <c r="E179" s="28" t="n">
        <v>0.5</v>
      </c>
      <c r="F179" s="27" t="s">
        <v>259</v>
      </c>
      <c r="G179" s="27" t="s">
        <v>222</v>
      </c>
      <c r="H179" s="27" t="s">
        <v>16</v>
      </c>
      <c r="I179" s="29" t="s">
        <v>15</v>
      </c>
    </row>
    <row r="180" customFormat="false" ht="15" hidden="false" customHeight="false" outlineLevel="0" collapsed="false">
      <c r="A180" s="27" t="s">
        <v>326</v>
      </c>
      <c r="B180" s="27" t="s">
        <v>193</v>
      </c>
      <c r="C180" s="27" t="n">
        <v>29536550</v>
      </c>
      <c r="D180" s="28" t="n">
        <v>0.333333333333333</v>
      </c>
      <c r="E180" s="28" t="n">
        <v>0.5</v>
      </c>
      <c r="F180" s="27" t="s">
        <v>259</v>
      </c>
      <c r="G180" s="27" t="s">
        <v>222</v>
      </c>
      <c r="H180" s="27" t="s">
        <v>17</v>
      </c>
      <c r="I180" s="29" t="s">
        <v>240</v>
      </c>
    </row>
    <row r="181" customFormat="false" ht="15" hidden="false" customHeight="false" outlineLevel="0" collapsed="false">
      <c r="A181" s="27" t="s">
        <v>326</v>
      </c>
      <c r="B181" s="27" t="s">
        <v>324</v>
      </c>
      <c r="C181" s="27" t="n">
        <v>24204584</v>
      </c>
      <c r="D181" s="28" t="n">
        <v>0.333333333333333</v>
      </c>
      <c r="E181" s="28" t="n">
        <v>0.5</v>
      </c>
      <c r="F181" s="27" t="s">
        <v>259</v>
      </c>
      <c r="G181" s="27" t="s">
        <v>222</v>
      </c>
      <c r="H181" s="27" t="s">
        <v>13</v>
      </c>
      <c r="I181" s="29" t="s">
        <v>274</v>
      </c>
    </row>
    <row r="182" customFormat="false" ht="15" hidden="false" customHeight="false" outlineLevel="0" collapsed="false">
      <c r="A182" s="27" t="s">
        <v>327</v>
      </c>
      <c r="B182" s="27" t="s">
        <v>328</v>
      </c>
      <c r="C182" s="27" t="n">
        <v>49855506</v>
      </c>
      <c r="D182" s="28" t="n">
        <v>0.333333333333333</v>
      </c>
      <c r="E182" s="28" t="n">
        <v>0.5</v>
      </c>
      <c r="F182" s="27" t="s">
        <v>329</v>
      </c>
      <c r="G182" s="27" t="s">
        <v>128</v>
      </c>
      <c r="H182" s="27" t="s">
        <v>13</v>
      </c>
      <c r="I182" s="29" t="s">
        <v>93</v>
      </c>
    </row>
    <row r="183" customFormat="false" ht="15" hidden="false" customHeight="false" outlineLevel="0" collapsed="false">
      <c r="A183" s="27" t="s">
        <v>327</v>
      </c>
      <c r="B183" s="27" t="s">
        <v>227</v>
      </c>
      <c r="C183" s="27" t="n">
        <v>25847276</v>
      </c>
      <c r="D183" s="28" t="n">
        <v>0.333333333333333</v>
      </c>
      <c r="E183" s="28" t="n">
        <v>0.5</v>
      </c>
      <c r="F183" s="27" t="s">
        <v>329</v>
      </c>
      <c r="G183" s="27" t="s">
        <v>128</v>
      </c>
      <c r="H183" s="27" t="s">
        <v>16</v>
      </c>
      <c r="I183" s="29" t="s">
        <v>240</v>
      </c>
    </row>
    <row r="184" customFormat="false" ht="15" hidden="false" customHeight="false" outlineLevel="0" collapsed="false">
      <c r="A184" s="27" t="s">
        <v>327</v>
      </c>
      <c r="B184" s="27" t="s">
        <v>312</v>
      </c>
      <c r="C184" s="27" t="n">
        <v>28107955</v>
      </c>
      <c r="D184" s="28" t="n">
        <v>0.333333333333333</v>
      </c>
      <c r="E184" s="28" t="n">
        <v>0.5</v>
      </c>
      <c r="F184" s="27" t="s">
        <v>329</v>
      </c>
      <c r="G184" s="27" t="s">
        <v>128</v>
      </c>
      <c r="H184" s="27" t="s">
        <v>17</v>
      </c>
      <c r="I184" s="29" t="s">
        <v>274</v>
      </c>
    </row>
    <row r="185" customFormat="false" ht="15" hidden="false" customHeight="false" outlineLevel="0" collapsed="false">
      <c r="A185" s="27" t="s">
        <v>330</v>
      </c>
      <c r="B185" s="27" t="s">
        <v>324</v>
      </c>
      <c r="C185" s="27" t="n">
        <v>24204584</v>
      </c>
      <c r="D185" s="28" t="n">
        <v>0.333333333333333</v>
      </c>
      <c r="E185" s="28" t="n">
        <v>0.5</v>
      </c>
      <c r="F185" s="27" t="s">
        <v>331</v>
      </c>
      <c r="G185" s="27" t="s">
        <v>202</v>
      </c>
      <c r="H185" s="27" t="s">
        <v>13</v>
      </c>
      <c r="I185" s="29" t="s">
        <v>93</v>
      </c>
    </row>
    <row r="186" customFormat="false" ht="15" hidden="false" customHeight="false" outlineLevel="0" collapsed="false">
      <c r="A186" s="27" t="s">
        <v>330</v>
      </c>
      <c r="B186" s="27" t="s">
        <v>312</v>
      </c>
      <c r="C186" s="27" t="n">
        <v>28107955</v>
      </c>
      <c r="D186" s="28" t="n">
        <v>0.333333333333333</v>
      </c>
      <c r="E186" s="28" t="n">
        <v>0.5</v>
      </c>
      <c r="F186" s="27" t="s">
        <v>331</v>
      </c>
      <c r="G186" s="27" t="s">
        <v>202</v>
      </c>
      <c r="H186" s="27" t="s">
        <v>17</v>
      </c>
      <c r="I186" s="29" t="s">
        <v>240</v>
      </c>
    </row>
    <row r="187" customFormat="false" ht="15" hidden="false" customHeight="false" outlineLevel="0" collapsed="false">
      <c r="A187" s="27" t="s">
        <v>330</v>
      </c>
      <c r="B187" s="27" t="s">
        <v>332</v>
      </c>
      <c r="C187" s="27" t="n">
        <v>27308288</v>
      </c>
      <c r="D187" s="28" t="n">
        <v>0.333333333333333</v>
      </c>
      <c r="E187" s="28" t="n">
        <v>0.5</v>
      </c>
      <c r="F187" s="27" t="s">
        <v>331</v>
      </c>
      <c r="G187" s="27" t="s">
        <v>202</v>
      </c>
      <c r="H187" s="27" t="s">
        <v>16</v>
      </c>
      <c r="I187" s="29" t="s">
        <v>274</v>
      </c>
    </row>
    <row r="188" customFormat="false" ht="15" hidden="false" customHeight="false" outlineLevel="0" collapsed="false">
      <c r="A188" s="27" t="s">
        <v>333</v>
      </c>
      <c r="B188" s="27" t="s">
        <v>334</v>
      </c>
      <c r="C188" s="27" t="n">
        <v>42220159</v>
      </c>
      <c r="D188" s="28" t="n">
        <v>0.333333333333333</v>
      </c>
      <c r="E188" s="28" t="n">
        <v>0.5</v>
      </c>
      <c r="F188" s="27" t="s">
        <v>335</v>
      </c>
      <c r="G188" s="27" t="s">
        <v>222</v>
      </c>
      <c r="H188" s="27" t="s">
        <v>17</v>
      </c>
      <c r="I188" s="29" t="s">
        <v>15</v>
      </c>
    </row>
    <row r="189" customFormat="false" ht="15" hidden="false" customHeight="false" outlineLevel="0" collapsed="false">
      <c r="A189" s="27" t="s">
        <v>333</v>
      </c>
      <c r="B189" s="27" t="s">
        <v>332</v>
      </c>
      <c r="C189" s="27" t="n">
        <v>27308288</v>
      </c>
      <c r="D189" s="28" t="n">
        <v>0.333333333333333</v>
      </c>
      <c r="E189" s="28" t="n">
        <v>0.5</v>
      </c>
      <c r="F189" s="27" t="s">
        <v>335</v>
      </c>
      <c r="G189" s="27" t="s">
        <v>222</v>
      </c>
      <c r="H189" s="27" t="s">
        <v>16</v>
      </c>
      <c r="I189" s="29" t="s">
        <v>240</v>
      </c>
    </row>
    <row r="190" customFormat="false" ht="15" hidden="false" customHeight="false" outlineLevel="0" collapsed="false">
      <c r="A190" s="27" t="s">
        <v>333</v>
      </c>
      <c r="B190" s="27" t="s">
        <v>336</v>
      </c>
      <c r="C190" s="27" t="n">
        <v>26504372</v>
      </c>
      <c r="D190" s="28" t="n">
        <v>0.333333333333333</v>
      </c>
      <c r="E190" s="28" t="n">
        <v>0.5</v>
      </c>
      <c r="F190" s="27" t="s">
        <v>335</v>
      </c>
      <c r="G190" s="27" t="s">
        <v>222</v>
      </c>
      <c r="H190" s="27" t="s">
        <v>13</v>
      </c>
      <c r="I190" s="29" t="s">
        <v>141</v>
      </c>
    </row>
    <row r="191" customFormat="false" ht="15" hidden="false" customHeight="false" outlineLevel="0" collapsed="false">
      <c r="A191" s="27" t="s">
        <v>337</v>
      </c>
      <c r="B191" s="27" t="s">
        <v>309</v>
      </c>
      <c r="C191" s="27" t="n">
        <v>43335491</v>
      </c>
      <c r="D191" s="28" t="n">
        <v>0.333333333333333</v>
      </c>
      <c r="E191" s="28" t="n">
        <v>0.5</v>
      </c>
      <c r="F191" s="27" t="s">
        <v>235</v>
      </c>
      <c r="G191" s="27" t="s">
        <v>222</v>
      </c>
      <c r="H191" s="27" t="s">
        <v>16</v>
      </c>
      <c r="I191" s="29" t="s">
        <v>15</v>
      </c>
    </row>
    <row r="192" customFormat="false" ht="15" hidden="false" customHeight="false" outlineLevel="0" collapsed="false">
      <c r="A192" s="27" t="s">
        <v>337</v>
      </c>
      <c r="B192" s="27" t="s">
        <v>338</v>
      </c>
      <c r="C192" s="27" t="n">
        <v>39135287</v>
      </c>
      <c r="D192" s="28" t="n">
        <v>0.333333333333333</v>
      </c>
      <c r="E192" s="28" t="n">
        <v>0.5</v>
      </c>
      <c r="F192" s="27" t="s">
        <v>235</v>
      </c>
      <c r="G192" s="27" t="s">
        <v>222</v>
      </c>
      <c r="H192" s="27" t="s">
        <v>13</v>
      </c>
      <c r="I192" s="29" t="s">
        <v>240</v>
      </c>
    </row>
    <row r="193" customFormat="false" ht="15" hidden="false" customHeight="false" outlineLevel="0" collapsed="false">
      <c r="A193" s="27" t="s">
        <v>337</v>
      </c>
      <c r="B193" s="27" t="s">
        <v>304</v>
      </c>
      <c r="C193" s="27" t="n">
        <v>28817028</v>
      </c>
      <c r="D193" s="28" t="n">
        <v>0.333333333333333</v>
      </c>
      <c r="E193" s="28" t="n">
        <v>0.5</v>
      </c>
      <c r="F193" s="27" t="s">
        <v>235</v>
      </c>
      <c r="G193" s="27" t="s">
        <v>222</v>
      </c>
      <c r="H193" s="27" t="s">
        <v>17</v>
      </c>
      <c r="I193" s="29" t="s">
        <v>274</v>
      </c>
    </row>
    <row r="194" customFormat="false" ht="15" hidden="false" customHeight="false" outlineLevel="0" collapsed="false">
      <c r="A194" s="27" t="s">
        <v>339</v>
      </c>
      <c r="B194" s="27" t="s">
        <v>340</v>
      </c>
      <c r="C194" s="27" t="n">
        <v>48463488</v>
      </c>
      <c r="D194" s="28" t="n">
        <v>0.333333333333333</v>
      </c>
      <c r="E194" s="28" t="n">
        <v>0.5</v>
      </c>
      <c r="F194" s="27" t="s">
        <v>341</v>
      </c>
      <c r="G194" s="27" t="s">
        <v>222</v>
      </c>
      <c r="H194" s="27" t="s">
        <v>17</v>
      </c>
      <c r="I194" s="29" t="s">
        <v>15</v>
      </c>
    </row>
    <row r="195" customFormat="false" ht="15" hidden="false" customHeight="false" outlineLevel="0" collapsed="false">
      <c r="A195" s="27" t="s">
        <v>339</v>
      </c>
      <c r="B195" s="27" t="s">
        <v>220</v>
      </c>
      <c r="C195" s="27" t="n">
        <v>40648512</v>
      </c>
      <c r="D195" s="28" t="n">
        <v>0.333333333333333</v>
      </c>
      <c r="E195" s="28" t="n">
        <v>0.5</v>
      </c>
      <c r="F195" s="27" t="s">
        <v>341</v>
      </c>
      <c r="G195" s="27" t="s">
        <v>222</v>
      </c>
      <c r="H195" s="27" t="s">
        <v>16</v>
      </c>
      <c r="I195" s="29" t="s">
        <v>240</v>
      </c>
    </row>
    <row r="196" customFormat="false" ht="15" hidden="false" customHeight="false" outlineLevel="0" collapsed="false">
      <c r="A196" s="27" t="s">
        <v>339</v>
      </c>
      <c r="B196" s="27" t="s">
        <v>324</v>
      </c>
      <c r="C196" s="27" t="n">
        <v>24204584</v>
      </c>
      <c r="D196" s="28" t="n">
        <v>0.333333333333333</v>
      </c>
      <c r="E196" s="28" t="n">
        <v>0.5</v>
      </c>
      <c r="F196" s="27" t="s">
        <v>341</v>
      </c>
      <c r="G196" s="27" t="s">
        <v>222</v>
      </c>
      <c r="H196" s="27" t="s">
        <v>13</v>
      </c>
      <c r="I196" s="29" t="s">
        <v>141</v>
      </c>
    </row>
    <row r="197" customFormat="false" ht="15" hidden="false" customHeight="false" outlineLevel="0" collapsed="false">
      <c r="A197" s="27" t="s">
        <v>342</v>
      </c>
      <c r="B197" s="27" t="s">
        <v>343</v>
      </c>
      <c r="C197" s="27" t="n">
        <v>29696426</v>
      </c>
      <c r="D197" s="28" t="n">
        <v>0.333333333333333</v>
      </c>
      <c r="E197" s="28" t="n">
        <v>0.5</v>
      </c>
      <c r="F197" s="27" t="s">
        <v>344</v>
      </c>
      <c r="G197" s="27" t="s">
        <v>222</v>
      </c>
      <c r="H197" s="27" t="s">
        <v>13</v>
      </c>
      <c r="I197" s="29" t="s">
        <v>15</v>
      </c>
    </row>
    <row r="198" customFormat="false" ht="15" hidden="false" customHeight="false" outlineLevel="0" collapsed="false">
      <c r="A198" s="27" t="s">
        <v>342</v>
      </c>
      <c r="B198" s="27" t="s">
        <v>180</v>
      </c>
      <c r="C198" s="27" t="n">
        <v>27197860</v>
      </c>
      <c r="D198" s="28" t="n">
        <v>0.333333333333333</v>
      </c>
      <c r="E198" s="28" t="n">
        <v>0.5</v>
      </c>
      <c r="F198" s="27" t="s">
        <v>344</v>
      </c>
      <c r="G198" s="27" t="s">
        <v>222</v>
      </c>
      <c r="H198" s="27" t="s">
        <v>17</v>
      </c>
      <c r="I198" s="29" t="s">
        <v>240</v>
      </c>
    </row>
    <row r="199" customFormat="false" ht="15" hidden="false" customHeight="false" outlineLevel="0" collapsed="false">
      <c r="A199" s="27" t="s">
        <v>342</v>
      </c>
      <c r="B199" s="27" t="s">
        <v>304</v>
      </c>
      <c r="C199" s="27" t="n">
        <v>28817028</v>
      </c>
      <c r="D199" s="28" t="n">
        <v>0.333333333333333</v>
      </c>
      <c r="E199" s="28" t="n">
        <v>0.5</v>
      </c>
      <c r="F199" s="27" t="s">
        <v>344</v>
      </c>
      <c r="G199" s="27" t="s">
        <v>222</v>
      </c>
      <c r="H199" s="27" t="s">
        <v>16</v>
      </c>
      <c r="I199" s="29" t="s">
        <v>274</v>
      </c>
    </row>
    <row r="200" customFormat="false" ht="15" hidden="false" customHeight="false" outlineLevel="0" collapsed="false">
      <c r="A200" s="27" t="s">
        <v>345</v>
      </c>
      <c r="B200" s="27" t="s">
        <v>346</v>
      </c>
      <c r="C200" s="27" t="n">
        <v>30293048</v>
      </c>
      <c r="D200" s="28" t="n">
        <v>0.583333333333333</v>
      </c>
      <c r="E200" s="28" t="n">
        <v>0.75</v>
      </c>
      <c r="F200" s="27" t="s">
        <v>138</v>
      </c>
      <c r="G200" s="27" t="s">
        <v>128</v>
      </c>
      <c r="H200" s="27" t="s">
        <v>17</v>
      </c>
      <c r="I200" s="29" t="s">
        <v>93</v>
      </c>
    </row>
    <row r="201" customFormat="false" ht="15" hidden="false" customHeight="false" outlineLevel="0" collapsed="false">
      <c r="A201" s="27" t="s">
        <v>345</v>
      </c>
      <c r="B201" s="27" t="s">
        <v>347</v>
      </c>
      <c r="C201" s="27" t="n">
        <v>39496908</v>
      </c>
      <c r="D201" s="28" t="n">
        <v>0.583333333333333</v>
      </c>
      <c r="E201" s="28" t="n">
        <v>0.75</v>
      </c>
      <c r="F201" s="27" t="s">
        <v>138</v>
      </c>
      <c r="G201" s="27" t="s">
        <v>128</v>
      </c>
      <c r="H201" s="27" t="s">
        <v>16</v>
      </c>
      <c r="I201" s="29" t="s">
        <v>130</v>
      </c>
    </row>
    <row r="202" customFormat="false" ht="15" hidden="false" customHeight="false" outlineLevel="0" collapsed="false">
      <c r="A202" s="27" t="s">
        <v>345</v>
      </c>
      <c r="B202" s="27" t="s">
        <v>348</v>
      </c>
      <c r="C202" s="27" t="n">
        <v>43450832</v>
      </c>
      <c r="D202" s="28" t="n">
        <v>0.583333333333333</v>
      </c>
      <c r="E202" s="28" t="n">
        <v>0.75</v>
      </c>
      <c r="F202" s="27" t="s">
        <v>138</v>
      </c>
      <c r="G202" s="27" t="s">
        <v>128</v>
      </c>
      <c r="H202" s="27" t="s">
        <v>13</v>
      </c>
      <c r="I202" s="29" t="s">
        <v>141</v>
      </c>
    </row>
    <row r="203" customFormat="false" ht="15" hidden="false" customHeight="false" outlineLevel="0" collapsed="false">
      <c r="A203" s="27" t="s">
        <v>349</v>
      </c>
      <c r="B203" s="27" t="s">
        <v>350</v>
      </c>
      <c r="C203" s="27" t="n">
        <v>32581859</v>
      </c>
      <c r="D203" s="28" t="n">
        <v>0.583333333333333</v>
      </c>
      <c r="E203" s="28" t="n">
        <v>0.75</v>
      </c>
      <c r="F203" s="27" t="s">
        <v>144</v>
      </c>
      <c r="G203" s="27" t="s">
        <v>128</v>
      </c>
      <c r="H203" s="27" t="s">
        <v>13</v>
      </c>
      <c r="I203" s="29" t="s">
        <v>93</v>
      </c>
    </row>
    <row r="204" customFormat="false" ht="15" hidden="false" customHeight="false" outlineLevel="0" collapsed="false">
      <c r="A204" s="27" t="s">
        <v>349</v>
      </c>
      <c r="B204" s="27" t="s">
        <v>134</v>
      </c>
      <c r="C204" s="27" t="n">
        <v>42361581</v>
      </c>
      <c r="D204" s="28" t="n">
        <v>0.583333333333333</v>
      </c>
      <c r="E204" s="28" t="n">
        <v>0.75</v>
      </c>
      <c r="F204" s="27" t="s">
        <v>144</v>
      </c>
      <c r="G204" s="27" t="s">
        <v>128</v>
      </c>
      <c r="H204" s="27" t="s">
        <v>16</v>
      </c>
      <c r="I204" s="29" t="s">
        <v>130</v>
      </c>
    </row>
    <row r="205" customFormat="false" ht="15" hidden="false" customHeight="false" outlineLevel="0" collapsed="false">
      <c r="A205" s="27" t="s">
        <v>349</v>
      </c>
      <c r="B205" s="27" t="s">
        <v>351</v>
      </c>
      <c r="C205" s="27" t="n">
        <v>48920163</v>
      </c>
      <c r="D205" s="28" t="n">
        <v>0.583333333333333</v>
      </c>
      <c r="E205" s="28" t="n">
        <v>0.75</v>
      </c>
      <c r="F205" s="27" t="s">
        <v>144</v>
      </c>
      <c r="G205" s="27" t="s">
        <v>128</v>
      </c>
      <c r="H205" s="27" t="s">
        <v>17</v>
      </c>
      <c r="I205" s="29" t="s">
        <v>141</v>
      </c>
    </row>
    <row r="206" customFormat="false" ht="15" hidden="false" customHeight="false" outlineLevel="0" collapsed="false">
      <c r="A206" s="27" t="s">
        <v>352</v>
      </c>
      <c r="B206" s="27" t="s">
        <v>353</v>
      </c>
      <c r="C206" s="27" t="n">
        <v>27550696</v>
      </c>
      <c r="D206" s="28" t="n">
        <v>0.583333333333333</v>
      </c>
      <c r="E206" s="28" t="n">
        <v>0.75</v>
      </c>
      <c r="F206" s="27" t="s">
        <v>329</v>
      </c>
      <c r="G206" s="27" t="s">
        <v>128</v>
      </c>
      <c r="H206" s="27" t="s">
        <v>13</v>
      </c>
      <c r="I206" s="29" t="s">
        <v>93</v>
      </c>
    </row>
    <row r="207" customFormat="false" ht="15" hidden="false" customHeight="false" outlineLevel="0" collapsed="false">
      <c r="A207" s="27" t="s">
        <v>352</v>
      </c>
      <c r="B207" s="27" t="s">
        <v>139</v>
      </c>
      <c r="C207" s="27" t="n">
        <v>22206635</v>
      </c>
      <c r="D207" s="28" t="n">
        <v>0.583333333333333</v>
      </c>
      <c r="E207" s="28" t="n">
        <v>0.75</v>
      </c>
      <c r="F207" s="27" t="s">
        <v>329</v>
      </c>
      <c r="G207" s="27" t="s">
        <v>128</v>
      </c>
      <c r="H207" s="27" t="s">
        <v>17</v>
      </c>
      <c r="I207" s="29" t="s">
        <v>130</v>
      </c>
    </row>
    <row r="208" customFormat="false" ht="15" hidden="false" customHeight="false" outlineLevel="0" collapsed="false">
      <c r="A208" s="27" t="s">
        <v>352</v>
      </c>
      <c r="B208" s="27" t="s">
        <v>354</v>
      </c>
      <c r="C208" s="27" t="n">
        <v>20688241</v>
      </c>
      <c r="D208" s="28" t="n">
        <v>0.583333333333333</v>
      </c>
      <c r="E208" s="28" t="n">
        <v>0.75</v>
      </c>
      <c r="F208" s="27" t="s">
        <v>329</v>
      </c>
      <c r="G208" s="27" t="s">
        <v>128</v>
      </c>
      <c r="H208" s="27" t="s">
        <v>16</v>
      </c>
      <c r="I208" s="29" t="s">
        <v>141</v>
      </c>
    </row>
    <row r="209" customFormat="false" ht="15" hidden="false" customHeight="false" outlineLevel="0" collapsed="false">
      <c r="A209" s="27" t="s">
        <v>355</v>
      </c>
      <c r="B209" s="27" t="s">
        <v>356</v>
      </c>
      <c r="C209" s="27" t="n">
        <v>20093250</v>
      </c>
      <c r="D209" s="28" t="n">
        <v>0.583333333333333</v>
      </c>
      <c r="E209" s="28" t="n">
        <v>0.75</v>
      </c>
      <c r="F209" s="27" t="s">
        <v>153</v>
      </c>
      <c r="G209" s="27" t="s">
        <v>128</v>
      </c>
      <c r="H209" s="27" t="s">
        <v>16</v>
      </c>
      <c r="I209" s="29" t="s">
        <v>93</v>
      </c>
    </row>
    <row r="210" customFormat="false" ht="15" hidden="false" customHeight="false" outlineLevel="0" collapsed="false">
      <c r="A210" s="27" t="s">
        <v>355</v>
      </c>
      <c r="B210" s="27" t="s">
        <v>206</v>
      </c>
      <c r="C210" s="27" t="n">
        <v>41033964</v>
      </c>
      <c r="D210" s="28" t="n">
        <v>0.583333333333333</v>
      </c>
      <c r="E210" s="28" t="n">
        <v>0.75</v>
      </c>
      <c r="F210" s="27" t="s">
        <v>153</v>
      </c>
      <c r="G210" s="27" t="s">
        <v>128</v>
      </c>
      <c r="H210" s="27" t="s">
        <v>13</v>
      </c>
      <c r="I210" s="29" t="s">
        <v>130</v>
      </c>
    </row>
    <row r="211" customFormat="false" ht="15" hidden="false" customHeight="false" outlineLevel="0" collapsed="false">
      <c r="A211" s="27" t="s">
        <v>355</v>
      </c>
      <c r="B211" s="27" t="s">
        <v>322</v>
      </c>
      <c r="C211" s="27" t="n">
        <v>42824331</v>
      </c>
      <c r="D211" s="28" t="n">
        <v>0.583333333333333</v>
      </c>
      <c r="E211" s="28" t="n">
        <v>0.75</v>
      </c>
      <c r="F211" s="27" t="s">
        <v>153</v>
      </c>
      <c r="G211" s="27" t="s">
        <v>128</v>
      </c>
      <c r="H211" s="27" t="s">
        <v>17</v>
      </c>
      <c r="I211" s="29" t="s">
        <v>141</v>
      </c>
    </row>
    <row r="212" customFormat="false" ht="15" hidden="false" customHeight="false" outlineLevel="0" collapsed="false">
      <c r="A212" s="27" t="s">
        <v>357</v>
      </c>
      <c r="B212" s="27" t="s">
        <v>264</v>
      </c>
      <c r="C212" s="27" t="n">
        <v>33675346</v>
      </c>
      <c r="D212" s="28" t="n">
        <v>0.583333333333333</v>
      </c>
      <c r="E212" s="28" t="n">
        <v>0.75</v>
      </c>
      <c r="F212" s="27" t="s">
        <v>127</v>
      </c>
      <c r="G212" s="27" t="s">
        <v>128</v>
      </c>
      <c r="H212" s="27" t="s">
        <v>17</v>
      </c>
      <c r="I212" s="29" t="s">
        <v>93</v>
      </c>
    </row>
    <row r="213" customFormat="false" ht="15" hidden="false" customHeight="false" outlineLevel="0" collapsed="false">
      <c r="A213" s="27" t="s">
        <v>357</v>
      </c>
      <c r="B213" s="27" t="s">
        <v>162</v>
      </c>
      <c r="C213" s="27" t="n">
        <v>26820389</v>
      </c>
      <c r="D213" s="28" t="n">
        <v>0.583333333333333</v>
      </c>
      <c r="E213" s="28" t="n">
        <v>0.75</v>
      </c>
      <c r="F213" s="27" t="s">
        <v>127</v>
      </c>
      <c r="G213" s="27" t="s">
        <v>128</v>
      </c>
      <c r="H213" s="27" t="s">
        <v>16</v>
      </c>
      <c r="I213" s="29" t="s">
        <v>130</v>
      </c>
    </row>
    <row r="214" customFormat="false" ht="15" hidden="false" customHeight="false" outlineLevel="0" collapsed="false">
      <c r="A214" s="27" t="s">
        <v>357</v>
      </c>
      <c r="B214" s="27" t="s">
        <v>145</v>
      </c>
      <c r="C214" s="27" t="n">
        <v>33175832</v>
      </c>
      <c r="D214" s="28" t="n">
        <v>0.583333333333333</v>
      </c>
      <c r="E214" s="28" t="n">
        <v>0.75</v>
      </c>
      <c r="F214" s="27" t="s">
        <v>127</v>
      </c>
      <c r="G214" s="27" t="s">
        <v>128</v>
      </c>
      <c r="H214" s="27" t="s">
        <v>13</v>
      </c>
      <c r="I214" s="29" t="s">
        <v>141</v>
      </c>
    </row>
    <row r="215" customFormat="false" ht="15" hidden="false" customHeight="false" outlineLevel="0" collapsed="false">
      <c r="A215" s="27" t="s">
        <v>358</v>
      </c>
      <c r="B215" s="27" t="s">
        <v>308</v>
      </c>
      <c r="C215" s="27" t="n">
        <v>46115210</v>
      </c>
      <c r="D215" s="28" t="n">
        <v>0.583333333333333</v>
      </c>
      <c r="E215" s="28" t="n">
        <v>0.75</v>
      </c>
      <c r="F215" s="27" t="s">
        <v>133</v>
      </c>
      <c r="G215" s="27" t="s">
        <v>128</v>
      </c>
      <c r="H215" s="27" t="s">
        <v>13</v>
      </c>
      <c r="I215" s="29" t="s">
        <v>93</v>
      </c>
    </row>
    <row r="216" customFormat="false" ht="15" hidden="false" customHeight="false" outlineLevel="0" collapsed="false">
      <c r="A216" s="30" t="s">
        <v>358</v>
      </c>
      <c r="B216" s="30" t="s">
        <v>176</v>
      </c>
      <c r="C216" s="30" t="n">
        <v>21054707</v>
      </c>
      <c r="D216" s="31" t="n">
        <v>0.583333333333333</v>
      </c>
      <c r="E216" s="31" t="n">
        <v>0.75</v>
      </c>
      <c r="F216" s="30" t="s">
        <v>133</v>
      </c>
      <c r="G216" s="30" t="s">
        <v>128</v>
      </c>
      <c r="H216" s="30" t="s">
        <v>16</v>
      </c>
      <c r="I216" s="29" t="s">
        <v>130</v>
      </c>
    </row>
    <row r="217" customFormat="false" ht="15" hidden="false" customHeight="false" outlineLevel="0" collapsed="false">
      <c r="A217" s="27" t="s">
        <v>358</v>
      </c>
      <c r="B217" s="27" t="s">
        <v>359</v>
      </c>
      <c r="C217" s="27" t="n">
        <v>33174493</v>
      </c>
      <c r="D217" s="28" t="n">
        <v>0.583333333333333</v>
      </c>
      <c r="E217" s="28" t="n">
        <v>0.75</v>
      </c>
      <c r="F217" s="27" t="s">
        <v>133</v>
      </c>
      <c r="G217" s="27" t="s">
        <v>128</v>
      </c>
      <c r="H217" s="27" t="s">
        <v>17</v>
      </c>
      <c r="I217" s="29" t="s">
        <v>141</v>
      </c>
    </row>
    <row r="218" customFormat="false" ht="15" hidden="false" customHeight="false" outlineLevel="0" collapsed="false">
      <c r="A218" s="27" t="s">
        <v>360</v>
      </c>
      <c r="B218" s="27" t="s">
        <v>292</v>
      </c>
      <c r="C218" s="27" t="n">
        <v>38345393</v>
      </c>
      <c r="D218" s="28" t="n">
        <v>0.583333333333333</v>
      </c>
      <c r="E218" s="28" t="n">
        <v>0.75</v>
      </c>
      <c r="F218" s="27" t="s">
        <v>157</v>
      </c>
      <c r="G218" s="27" t="s">
        <v>128</v>
      </c>
      <c r="H218" s="27" t="s">
        <v>16</v>
      </c>
      <c r="I218" s="29" t="s">
        <v>93</v>
      </c>
    </row>
    <row r="219" customFormat="false" ht="15" hidden="false" customHeight="false" outlineLevel="0" collapsed="false">
      <c r="A219" s="27" t="s">
        <v>360</v>
      </c>
      <c r="B219" s="27" t="s">
        <v>260</v>
      </c>
      <c r="C219" s="27" t="n">
        <v>21115942</v>
      </c>
      <c r="D219" s="28" t="n">
        <v>0.583333333333333</v>
      </c>
      <c r="E219" s="28" t="n">
        <v>0.75</v>
      </c>
      <c r="F219" s="27" t="s">
        <v>157</v>
      </c>
      <c r="G219" s="27" t="s">
        <v>128</v>
      </c>
      <c r="H219" s="27" t="s">
        <v>17</v>
      </c>
      <c r="I219" s="29" t="s">
        <v>130</v>
      </c>
    </row>
    <row r="220" customFormat="false" ht="15" hidden="false" customHeight="false" outlineLevel="0" collapsed="false">
      <c r="A220" s="27" t="s">
        <v>360</v>
      </c>
      <c r="B220" s="27" t="s">
        <v>361</v>
      </c>
      <c r="C220" s="27" t="n">
        <v>36467727</v>
      </c>
      <c r="D220" s="28" t="n">
        <v>0.583333333333333</v>
      </c>
      <c r="E220" s="28" t="n">
        <v>0.75</v>
      </c>
      <c r="F220" s="27" t="s">
        <v>157</v>
      </c>
      <c r="G220" s="27" t="s">
        <v>128</v>
      </c>
      <c r="H220" s="27" t="s">
        <v>13</v>
      </c>
      <c r="I220" s="29" t="s">
        <v>141</v>
      </c>
    </row>
    <row r="221" customFormat="false" ht="15" hidden="false" customHeight="false" outlineLevel="0" collapsed="false">
      <c r="A221" s="27" t="s">
        <v>362</v>
      </c>
      <c r="B221" s="27" t="s">
        <v>148</v>
      </c>
      <c r="C221" s="27" t="n">
        <v>42734416</v>
      </c>
      <c r="D221" s="28" t="n">
        <v>0.583333333333333</v>
      </c>
      <c r="E221" s="28" t="n">
        <v>0.75</v>
      </c>
      <c r="F221" s="27" t="s">
        <v>161</v>
      </c>
      <c r="G221" s="27" t="s">
        <v>128</v>
      </c>
      <c r="H221" s="27" t="s">
        <v>13</v>
      </c>
      <c r="I221" s="29" t="s">
        <v>93</v>
      </c>
    </row>
    <row r="222" customFormat="false" ht="15" hidden="false" customHeight="false" outlineLevel="0" collapsed="false">
      <c r="A222" s="27" t="s">
        <v>362</v>
      </c>
      <c r="B222" s="27" t="s">
        <v>172</v>
      </c>
      <c r="C222" s="27" t="n">
        <v>31683982</v>
      </c>
      <c r="D222" s="28" t="n">
        <v>0.583333333333333</v>
      </c>
      <c r="E222" s="28" t="n">
        <v>0.75</v>
      </c>
      <c r="F222" s="27" t="s">
        <v>161</v>
      </c>
      <c r="G222" s="27" t="s">
        <v>128</v>
      </c>
      <c r="H222" s="27" t="s">
        <v>17</v>
      </c>
      <c r="I222" s="29" t="s">
        <v>130</v>
      </c>
    </row>
    <row r="223" customFormat="false" ht="15" hidden="false" customHeight="false" outlineLevel="0" collapsed="false">
      <c r="A223" s="27" t="s">
        <v>362</v>
      </c>
      <c r="B223" s="27" t="s">
        <v>363</v>
      </c>
      <c r="C223" s="27" t="n">
        <v>35383910</v>
      </c>
      <c r="D223" s="28" t="n">
        <v>0.583333333333333</v>
      </c>
      <c r="E223" s="28" t="n">
        <v>0.75</v>
      </c>
      <c r="F223" s="27" t="s">
        <v>161</v>
      </c>
      <c r="G223" s="27" t="s">
        <v>128</v>
      </c>
      <c r="H223" s="27" t="s">
        <v>16</v>
      </c>
      <c r="I223" s="29" t="s">
        <v>141</v>
      </c>
    </row>
    <row r="224" customFormat="false" ht="15" hidden="false" customHeight="false" outlineLevel="0" collapsed="false">
      <c r="A224" s="27" t="s">
        <v>364</v>
      </c>
      <c r="B224" s="27" t="s">
        <v>359</v>
      </c>
      <c r="C224" s="27" t="n">
        <v>33174493</v>
      </c>
      <c r="D224" s="28" t="n">
        <v>0.583333333333333</v>
      </c>
      <c r="E224" s="28" t="n">
        <v>0.75</v>
      </c>
      <c r="F224" s="27" t="s">
        <v>149</v>
      </c>
      <c r="G224" s="27" t="s">
        <v>128</v>
      </c>
      <c r="H224" s="27" t="s">
        <v>17</v>
      </c>
      <c r="I224" s="29" t="s">
        <v>93</v>
      </c>
    </row>
    <row r="225" customFormat="false" ht="15" hidden="false" customHeight="false" outlineLevel="0" collapsed="false">
      <c r="A225" s="27" t="s">
        <v>364</v>
      </c>
      <c r="B225" s="27" t="s">
        <v>365</v>
      </c>
      <c r="C225" s="27" t="n">
        <v>32649247</v>
      </c>
      <c r="D225" s="28" t="n">
        <v>0.583333333333333</v>
      </c>
      <c r="E225" s="28" t="n">
        <v>0.75</v>
      </c>
      <c r="F225" s="27" t="s">
        <v>149</v>
      </c>
      <c r="G225" s="27" t="s">
        <v>128</v>
      </c>
      <c r="H225" s="27" t="s">
        <v>16</v>
      </c>
      <c r="I225" s="29" t="s">
        <v>130</v>
      </c>
    </row>
    <row r="226" customFormat="false" ht="15" hidden="false" customHeight="false" outlineLevel="0" collapsed="false">
      <c r="A226" s="27" t="s">
        <v>364</v>
      </c>
      <c r="B226" s="27" t="s">
        <v>168</v>
      </c>
      <c r="C226" s="27" t="n">
        <v>20100804</v>
      </c>
      <c r="D226" s="28" t="n">
        <v>0.583333333333333</v>
      </c>
      <c r="E226" s="28" t="n">
        <v>0.75</v>
      </c>
      <c r="F226" s="27" t="s">
        <v>149</v>
      </c>
      <c r="G226" s="27" t="s">
        <v>128</v>
      </c>
      <c r="H226" s="27" t="s">
        <v>13</v>
      </c>
      <c r="I226" s="29" t="s">
        <v>141</v>
      </c>
    </row>
    <row r="227" customFormat="false" ht="15" hidden="false" customHeight="false" outlineLevel="0" collapsed="false">
      <c r="A227" s="27" t="s">
        <v>366</v>
      </c>
      <c r="B227" s="27" t="s">
        <v>367</v>
      </c>
      <c r="C227" s="27" t="n">
        <v>45459854</v>
      </c>
      <c r="D227" s="28" t="n">
        <v>0.583333333333333</v>
      </c>
      <c r="E227" s="28" t="n">
        <v>0.75</v>
      </c>
      <c r="F227" s="27" t="s">
        <v>166</v>
      </c>
      <c r="G227" s="27" t="s">
        <v>128</v>
      </c>
      <c r="H227" s="27" t="s">
        <v>16</v>
      </c>
      <c r="I227" s="29" t="s">
        <v>93</v>
      </c>
    </row>
    <row r="228" customFormat="false" ht="15" hidden="false" customHeight="false" outlineLevel="0" collapsed="false">
      <c r="A228" s="27" t="s">
        <v>366</v>
      </c>
      <c r="B228" s="27" t="s">
        <v>264</v>
      </c>
      <c r="C228" s="27" t="n">
        <v>33675346</v>
      </c>
      <c r="D228" s="28" t="n">
        <v>0.583333333333333</v>
      </c>
      <c r="E228" s="28" t="n">
        <v>0.75</v>
      </c>
      <c r="F228" s="27" t="s">
        <v>166</v>
      </c>
      <c r="G228" s="27" t="s">
        <v>128</v>
      </c>
      <c r="H228" s="27" t="s">
        <v>17</v>
      </c>
      <c r="I228" s="29" t="s">
        <v>130</v>
      </c>
    </row>
    <row r="229" customFormat="false" ht="15" hidden="false" customHeight="false" outlineLevel="0" collapsed="false">
      <c r="A229" s="27" t="s">
        <v>366</v>
      </c>
      <c r="B229" s="27" t="s">
        <v>294</v>
      </c>
      <c r="C229" s="27" t="n">
        <v>32980779</v>
      </c>
      <c r="D229" s="28" t="n">
        <v>0.583333333333333</v>
      </c>
      <c r="E229" s="28" t="n">
        <v>0.75</v>
      </c>
      <c r="F229" s="27" t="s">
        <v>166</v>
      </c>
      <c r="G229" s="27" t="s">
        <v>128</v>
      </c>
      <c r="H229" s="27" t="s">
        <v>13</v>
      </c>
      <c r="I229" s="29" t="s">
        <v>141</v>
      </c>
    </row>
    <row r="230" customFormat="false" ht="15" hidden="false" customHeight="false" outlineLevel="0" collapsed="false">
      <c r="A230" s="27" t="s">
        <v>368</v>
      </c>
      <c r="B230" s="27" t="s">
        <v>277</v>
      </c>
      <c r="C230" s="27" t="n">
        <v>39166055</v>
      </c>
      <c r="D230" s="28" t="n">
        <v>0.583333333333333</v>
      </c>
      <c r="E230" s="28" t="n">
        <v>0.75</v>
      </c>
      <c r="F230" s="27" t="s">
        <v>171</v>
      </c>
      <c r="G230" s="27" t="s">
        <v>128</v>
      </c>
      <c r="H230" s="27" t="s">
        <v>16</v>
      </c>
      <c r="I230" s="29" t="s">
        <v>93</v>
      </c>
    </row>
    <row r="231" customFormat="false" ht="15" hidden="false" customHeight="false" outlineLevel="0" collapsed="false">
      <c r="A231" s="27" t="s">
        <v>368</v>
      </c>
      <c r="B231" s="27" t="s">
        <v>163</v>
      </c>
      <c r="C231" s="27" t="n">
        <v>43153543</v>
      </c>
      <c r="D231" s="28" t="n">
        <v>0.583333333333333</v>
      </c>
      <c r="E231" s="28" t="n">
        <v>0.75</v>
      </c>
      <c r="F231" s="27" t="s">
        <v>171</v>
      </c>
      <c r="G231" s="27" t="s">
        <v>128</v>
      </c>
      <c r="H231" s="27" t="s">
        <v>13</v>
      </c>
      <c r="I231" s="29" t="s">
        <v>130</v>
      </c>
    </row>
    <row r="232" customFormat="false" ht="15" hidden="false" customHeight="false" outlineLevel="0" collapsed="false">
      <c r="A232" s="27" t="s">
        <v>368</v>
      </c>
      <c r="B232" s="27" t="s">
        <v>369</v>
      </c>
      <c r="C232" s="27" t="n">
        <v>48456381</v>
      </c>
      <c r="D232" s="28" t="n">
        <v>0.583333333333333</v>
      </c>
      <c r="E232" s="28" t="n">
        <v>0.75</v>
      </c>
      <c r="F232" s="27" t="s">
        <v>171</v>
      </c>
      <c r="G232" s="27" t="s">
        <v>128</v>
      </c>
      <c r="H232" s="27" t="s">
        <v>17</v>
      </c>
      <c r="I232" s="29" t="s">
        <v>141</v>
      </c>
    </row>
    <row r="233" customFormat="false" ht="15" hidden="false" customHeight="false" outlineLevel="0" collapsed="false">
      <c r="A233" s="27" t="s">
        <v>370</v>
      </c>
      <c r="B233" s="27" t="s">
        <v>371</v>
      </c>
      <c r="C233" s="27" t="n">
        <v>48404206</v>
      </c>
      <c r="D233" s="28" t="n">
        <v>0.583333333333333</v>
      </c>
      <c r="E233" s="28" t="n">
        <v>0.75</v>
      </c>
      <c r="F233" s="27" t="s">
        <v>175</v>
      </c>
      <c r="G233" s="27" t="s">
        <v>128</v>
      </c>
      <c r="H233" s="27" t="s">
        <v>17</v>
      </c>
      <c r="I233" s="29" t="s">
        <v>93</v>
      </c>
    </row>
    <row r="234" customFormat="false" ht="15" hidden="false" customHeight="false" outlineLevel="0" collapsed="false">
      <c r="A234" s="27" t="s">
        <v>370</v>
      </c>
      <c r="B234" s="27" t="s">
        <v>187</v>
      </c>
      <c r="C234" s="27" t="n">
        <v>36994725</v>
      </c>
      <c r="D234" s="28" t="n">
        <v>0.583333333333333</v>
      </c>
      <c r="E234" s="28" t="n">
        <v>0.75</v>
      </c>
      <c r="F234" s="27" t="s">
        <v>175</v>
      </c>
      <c r="G234" s="27" t="s">
        <v>128</v>
      </c>
      <c r="H234" s="27" t="s">
        <v>13</v>
      </c>
      <c r="I234" s="29" t="s">
        <v>130</v>
      </c>
    </row>
    <row r="235" customFormat="false" ht="15" hidden="false" customHeight="false" outlineLevel="0" collapsed="false">
      <c r="A235" s="27" t="s">
        <v>370</v>
      </c>
      <c r="B235" s="27" t="s">
        <v>236</v>
      </c>
      <c r="C235" s="27" t="n">
        <v>45167258</v>
      </c>
      <c r="D235" s="28" t="n">
        <v>0.583333333333333</v>
      </c>
      <c r="E235" s="28" t="n">
        <v>0.75</v>
      </c>
      <c r="F235" s="27" t="s">
        <v>175</v>
      </c>
      <c r="G235" s="27" t="s">
        <v>128</v>
      </c>
      <c r="H235" s="27" t="s">
        <v>16</v>
      </c>
      <c r="I235" s="29" t="s">
        <v>141</v>
      </c>
    </row>
    <row r="236" customFormat="false" ht="15" hidden="false" customHeight="false" outlineLevel="0" collapsed="false">
      <c r="A236" s="27" t="s">
        <v>372</v>
      </c>
      <c r="B236" s="27" t="s">
        <v>373</v>
      </c>
      <c r="C236" s="27" t="n">
        <v>25273935</v>
      </c>
      <c r="D236" s="28" t="n">
        <v>0.583333333333333</v>
      </c>
      <c r="E236" s="28" t="n">
        <v>0.75</v>
      </c>
      <c r="F236" s="27" t="s">
        <v>179</v>
      </c>
      <c r="G236" s="27" t="s">
        <v>128</v>
      </c>
      <c r="H236" s="27" t="s">
        <v>17</v>
      </c>
      <c r="I236" s="29" t="s">
        <v>93</v>
      </c>
    </row>
    <row r="237" customFormat="false" ht="15" hidden="false" customHeight="false" outlineLevel="0" collapsed="false">
      <c r="A237" s="27" t="s">
        <v>372</v>
      </c>
      <c r="B237" s="27" t="s">
        <v>227</v>
      </c>
      <c r="C237" s="27" t="n">
        <v>25847276</v>
      </c>
      <c r="D237" s="28" t="n">
        <v>0.583333333333333</v>
      </c>
      <c r="E237" s="28" t="n">
        <v>0.75</v>
      </c>
      <c r="F237" s="27" t="s">
        <v>179</v>
      </c>
      <c r="G237" s="27" t="s">
        <v>128</v>
      </c>
      <c r="H237" s="27" t="s">
        <v>16</v>
      </c>
      <c r="I237" s="29" t="s">
        <v>130</v>
      </c>
    </row>
    <row r="238" customFormat="false" ht="15" hidden="false" customHeight="false" outlineLevel="0" collapsed="false">
      <c r="A238" s="27" t="s">
        <v>372</v>
      </c>
      <c r="B238" s="27" t="s">
        <v>288</v>
      </c>
      <c r="C238" s="27" t="n">
        <v>22472550</v>
      </c>
      <c r="D238" s="28" t="n">
        <v>0.583333333333333</v>
      </c>
      <c r="E238" s="28" t="n">
        <v>0.75</v>
      </c>
      <c r="F238" s="27" t="s">
        <v>179</v>
      </c>
      <c r="G238" s="27" t="s">
        <v>128</v>
      </c>
      <c r="H238" s="27" t="s">
        <v>13</v>
      </c>
      <c r="I238" s="29" t="s">
        <v>141</v>
      </c>
    </row>
    <row r="239" customFormat="false" ht="15" hidden="false" customHeight="false" outlineLevel="0" collapsed="false">
      <c r="A239" s="27" t="s">
        <v>374</v>
      </c>
      <c r="B239" s="27" t="s">
        <v>369</v>
      </c>
      <c r="C239" s="27" t="n">
        <v>48456381</v>
      </c>
      <c r="D239" s="28" t="n">
        <v>0.583333333333333</v>
      </c>
      <c r="E239" s="28" t="n">
        <v>0.75</v>
      </c>
      <c r="F239" s="27" t="s">
        <v>127</v>
      </c>
      <c r="G239" s="27" t="s">
        <v>128</v>
      </c>
      <c r="H239" s="27" t="s">
        <v>17</v>
      </c>
      <c r="I239" s="29" t="s">
        <v>15</v>
      </c>
    </row>
    <row r="240" customFormat="false" ht="15" hidden="false" customHeight="false" outlineLevel="0" collapsed="false">
      <c r="A240" s="27" t="s">
        <v>374</v>
      </c>
      <c r="B240" s="27" t="s">
        <v>375</v>
      </c>
      <c r="C240" s="27" t="n">
        <v>31213028</v>
      </c>
      <c r="D240" s="28" t="n">
        <v>0.583333333333333</v>
      </c>
      <c r="E240" s="28" t="n">
        <v>0.75</v>
      </c>
      <c r="F240" s="27" t="s">
        <v>127</v>
      </c>
      <c r="G240" s="27" t="s">
        <v>128</v>
      </c>
      <c r="H240" s="27" t="s">
        <v>13</v>
      </c>
      <c r="I240" s="29" t="s">
        <v>240</v>
      </c>
    </row>
    <row r="241" customFormat="false" ht="15" hidden="false" customHeight="false" outlineLevel="0" collapsed="false">
      <c r="A241" s="27" t="s">
        <v>374</v>
      </c>
      <c r="B241" s="27" t="s">
        <v>376</v>
      </c>
      <c r="C241" s="27" t="n">
        <v>31008931</v>
      </c>
      <c r="D241" s="28" t="n">
        <v>0.583333333333333</v>
      </c>
      <c r="E241" s="28" t="n">
        <v>0.75</v>
      </c>
      <c r="F241" s="27" t="s">
        <v>127</v>
      </c>
      <c r="G241" s="27" t="s">
        <v>128</v>
      </c>
      <c r="H241" s="27" t="s">
        <v>16</v>
      </c>
      <c r="I241" s="29" t="s">
        <v>274</v>
      </c>
    </row>
    <row r="242" customFormat="false" ht="15" hidden="false" customHeight="false" outlineLevel="0" collapsed="false">
      <c r="A242" s="27" t="s">
        <v>377</v>
      </c>
      <c r="B242" s="27" t="s">
        <v>363</v>
      </c>
      <c r="C242" s="27" t="n">
        <v>35383910</v>
      </c>
      <c r="D242" s="28" t="n">
        <v>0.583333333333333</v>
      </c>
      <c r="E242" s="28" t="n">
        <v>0.75</v>
      </c>
      <c r="F242" s="27" t="s">
        <v>133</v>
      </c>
      <c r="G242" s="27" t="s">
        <v>128</v>
      </c>
      <c r="H242" s="27" t="s">
        <v>16</v>
      </c>
      <c r="I242" s="29" t="s">
        <v>15</v>
      </c>
    </row>
    <row r="243" customFormat="false" ht="15" hidden="false" customHeight="false" outlineLevel="0" collapsed="false">
      <c r="A243" s="27" t="s">
        <v>377</v>
      </c>
      <c r="B243" s="27" t="s">
        <v>350</v>
      </c>
      <c r="C243" s="27" t="n">
        <v>32581859</v>
      </c>
      <c r="D243" s="28" t="n">
        <v>0.583333333333333</v>
      </c>
      <c r="E243" s="28" t="n">
        <v>0.75</v>
      </c>
      <c r="F243" s="27" t="s">
        <v>133</v>
      </c>
      <c r="G243" s="27" t="s">
        <v>128</v>
      </c>
      <c r="H243" s="27" t="s">
        <v>13</v>
      </c>
      <c r="I243" s="29" t="s">
        <v>240</v>
      </c>
    </row>
    <row r="244" customFormat="false" ht="15" hidden="false" customHeight="false" outlineLevel="0" collapsed="false">
      <c r="A244" s="27" t="s">
        <v>377</v>
      </c>
      <c r="B244" s="27" t="s">
        <v>378</v>
      </c>
      <c r="C244" s="27" t="n">
        <v>20270111</v>
      </c>
      <c r="D244" s="28" t="n">
        <v>0.583333333333333</v>
      </c>
      <c r="E244" s="28" t="n">
        <v>0.75</v>
      </c>
      <c r="F244" s="27" t="s">
        <v>133</v>
      </c>
      <c r="G244" s="27" t="s">
        <v>128</v>
      </c>
      <c r="H244" s="27" t="s">
        <v>17</v>
      </c>
      <c r="I244" s="29" t="s">
        <v>274</v>
      </c>
    </row>
    <row r="245" customFormat="false" ht="15" hidden="false" customHeight="false" outlineLevel="0" collapsed="false">
      <c r="A245" s="27" t="s">
        <v>379</v>
      </c>
      <c r="B245" s="27" t="s">
        <v>287</v>
      </c>
      <c r="C245" s="27" t="n">
        <v>21972658</v>
      </c>
      <c r="D245" s="28" t="n">
        <v>0.583333333333333</v>
      </c>
      <c r="E245" s="28" t="n">
        <v>0.75</v>
      </c>
      <c r="F245" s="27" t="s">
        <v>138</v>
      </c>
      <c r="G245" s="27" t="s">
        <v>128</v>
      </c>
      <c r="H245" s="27" t="s">
        <v>16</v>
      </c>
      <c r="I245" s="29" t="s">
        <v>15</v>
      </c>
    </row>
    <row r="246" customFormat="false" ht="15" hidden="false" customHeight="false" outlineLevel="0" collapsed="false">
      <c r="A246" s="27" t="s">
        <v>379</v>
      </c>
      <c r="B246" s="27" t="s">
        <v>380</v>
      </c>
      <c r="C246" s="27" t="n">
        <v>27313732</v>
      </c>
      <c r="D246" s="28" t="n">
        <v>0.583333333333333</v>
      </c>
      <c r="E246" s="28" t="n">
        <v>0.75</v>
      </c>
      <c r="F246" s="27" t="s">
        <v>138</v>
      </c>
      <c r="G246" s="27" t="s">
        <v>128</v>
      </c>
      <c r="H246" s="27" t="s">
        <v>13</v>
      </c>
      <c r="I246" s="29" t="s">
        <v>240</v>
      </c>
    </row>
    <row r="247" customFormat="false" ht="15" hidden="false" customHeight="false" outlineLevel="0" collapsed="false">
      <c r="A247" s="27" t="s">
        <v>379</v>
      </c>
      <c r="B247" s="27" t="s">
        <v>381</v>
      </c>
      <c r="C247" s="27" t="n">
        <v>25391529</v>
      </c>
      <c r="D247" s="28" t="n">
        <v>0.583333333333333</v>
      </c>
      <c r="E247" s="28" t="n">
        <v>0.75</v>
      </c>
      <c r="F247" s="27" t="s">
        <v>138</v>
      </c>
      <c r="G247" s="27" t="s">
        <v>128</v>
      </c>
      <c r="H247" s="27" t="s">
        <v>17</v>
      </c>
      <c r="I247" s="29" t="s">
        <v>274</v>
      </c>
    </row>
    <row r="248" customFormat="false" ht="15" hidden="false" customHeight="false" outlineLevel="0" collapsed="false">
      <c r="A248" s="27" t="s">
        <v>382</v>
      </c>
      <c r="B248" s="27" t="s">
        <v>276</v>
      </c>
      <c r="C248" s="27" t="n">
        <v>33347398</v>
      </c>
      <c r="D248" s="28" t="n">
        <v>0.583333333333333</v>
      </c>
      <c r="E248" s="28" t="n">
        <v>0.75</v>
      </c>
      <c r="F248" s="27" t="s">
        <v>144</v>
      </c>
      <c r="G248" s="27" t="s">
        <v>128</v>
      </c>
      <c r="H248" s="27" t="s">
        <v>17</v>
      </c>
      <c r="I248" s="29" t="s">
        <v>15</v>
      </c>
    </row>
    <row r="249" customFormat="false" ht="15" hidden="false" customHeight="false" outlineLevel="0" collapsed="false">
      <c r="A249" s="27" t="s">
        <v>382</v>
      </c>
      <c r="B249" s="27" t="s">
        <v>353</v>
      </c>
      <c r="C249" s="27" t="n">
        <v>27550696</v>
      </c>
      <c r="D249" s="28" t="n">
        <v>0.583333333333333</v>
      </c>
      <c r="E249" s="28" t="n">
        <v>0.75</v>
      </c>
      <c r="F249" s="27" t="s">
        <v>144</v>
      </c>
      <c r="G249" s="27" t="s">
        <v>128</v>
      </c>
      <c r="H249" s="27" t="s">
        <v>13</v>
      </c>
      <c r="I249" s="29" t="s">
        <v>240</v>
      </c>
    </row>
    <row r="250" customFormat="false" ht="15" hidden="false" customHeight="false" outlineLevel="0" collapsed="false">
      <c r="A250" s="27" t="s">
        <v>382</v>
      </c>
      <c r="B250" s="27" t="s">
        <v>353</v>
      </c>
      <c r="C250" s="27" t="n">
        <v>27550696</v>
      </c>
      <c r="D250" s="28" t="n">
        <v>0.583333333333333</v>
      </c>
      <c r="E250" s="28" t="n">
        <v>0.75</v>
      </c>
      <c r="F250" s="27" t="s">
        <v>144</v>
      </c>
      <c r="G250" s="27" t="s">
        <v>128</v>
      </c>
      <c r="H250" s="27" t="s">
        <v>13</v>
      </c>
      <c r="I250" s="29" t="s">
        <v>274</v>
      </c>
    </row>
    <row r="251" customFormat="false" ht="15" hidden="false" customHeight="false" outlineLevel="0" collapsed="false">
      <c r="A251" s="27" t="s">
        <v>383</v>
      </c>
      <c r="B251" s="27" t="s">
        <v>384</v>
      </c>
      <c r="C251" s="27" t="n">
        <v>41236033</v>
      </c>
      <c r="D251" s="28" t="n">
        <v>0.583333333333333</v>
      </c>
      <c r="E251" s="28" t="n">
        <v>0.75</v>
      </c>
      <c r="F251" s="27" t="s">
        <v>149</v>
      </c>
      <c r="G251" s="27" t="s">
        <v>128</v>
      </c>
      <c r="H251" s="27" t="s">
        <v>13</v>
      </c>
      <c r="I251" s="29" t="s">
        <v>15</v>
      </c>
    </row>
    <row r="252" customFormat="false" ht="15" hidden="false" customHeight="false" outlineLevel="0" collapsed="false">
      <c r="A252" s="27" t="s">
        <v>383</v>
      </c>
      <c r="B252" s="27" t="s">
        <v>385</v>
      </c>
      <c r="C252" s="27" t="n">
        <v>31674890</v>
      </c>
      <c r="D252" s="28" t="n">
        <v>0.583333333333333</v>
      </c>
      <c r="E252" s="28" t="n">
        <v>0.75</v>
      </c>
      <c r="F252" s="27" t="s">
        <v>149</v>
      </c>
      <c r="G252" s="27" t="s">
        <v>128</v>
      </c>
      <c r="H252" s="27" t="s">
        <v>17</v>
      </c>
      <c r="I252" s="29" t="s">
        <v>240</v>
      </c>
    </row>
    <row r="253" customFormat="false" ht="15" hidden="false" customHeight="false" outlineLevel="0" collapsed="false">
      <c r="A253" s="27" t="s">
        <v>383</v>
      </c>
      <c r="B253" s="27" t="s">
        <v>386</v>
      </c>
      <c r="C253" s="27" t="n">
        <v>47797909</v>
      </c>
      <c r="D253" s="28" t="n">
        <v>0.583333333333333</v>
      </c>
      <c r="E253" s="28" t="n">
        <v>0.75</v>
      </c>
      <c r="F253" s="27" t="s">
        <v>149</v>
      </c>
      <c r="G253" s="27" t="s">
        <v>128</v>
      </c>
      <c r="H253" s="27" t="s">
        <v>16</v>
      </c>
      <c r="I253" s="29" t="s">
        <v>274</v>
      </c>
    </row>
    <row r="254" customFormat="false" ht="15" hidden="false" customHeight="false" outlineLevel="0" collapsed="false">
      <c r="A254" s="27" t="s">
        <v>387</v>
      </c>
      <c r="B254" s="27" t="s">
        <v>359</v>
      </c>
      <c r="C254" s="27" t="n">
        <v>33174493</v>
      </c>
      <c r="D254" s="28" t="n">
        <v>0.583333333333333</v>
      </c>
      <c r="E254" s="28" t="n">
        <v>0.75</v>
      </c>
      <c r="F254" s="27" t="s">
        <v>153</v>
      </c>
      <c r="G254" s="27" t="s">
        <v>128</v>
      </c>
      <c r="H254" s="27" t="s">
        <v>17</v>
      </c>
      <c r="I254" s="29" t="s">
        <v>15</v>
      </c>
    </row>
    <row r="255" customFormat="false" ht="15" hidden="false" customHeight="false" outlineLevel="0" collapsed="false">
      <c r="A255" s="27" t="s">
        <v>387</v>
      </c>
      <c r="B255" s="27" t="s">
        <v>356</v>
      </c>
      <c r="C255" s="27" t="n">
        <v>20093250</v>
      </c>
      <c r="D255" s="28" t="n">
        <v>0.583333333333333</v>
      </c>
      <c r="E255" s="28" t="n">
        <v>0.75</v>
      </c>
      <c r="F255" s="27" t="s">
        <v>153</v>
      </c>
      <c r="G255" s="27" t="s">
        <v>128</v>
      </c>
      <c r="H255" s="27" t="s">
        <v>16</v>
      </c>
      <c r="I255" s="29" t="s">
        <v>240</v>
      </c>
    </row>
    <row r="256" customFormat="false" ht="15" hidden="false" customHeight="false" outlineLevel="0" collapsed="false">
      <c r="A256" s="27" t="s">
        <v>387</v>
      </c>
      <c r="B256" s="27" t="s">
        <v>388</v>
      </c>
      <c r="C256" s="27" t="n">
        <v>20370917</v>
      </c>
      <c r="D256" s="28" t="n">
        <v>0.583333333333333</v>
      </c>
      <c r="E256" s="28" t="n">
        <v>0.75</v>
      </c>
      <c r="F256" s="27" t="s">
        <v>153</v>
      </c>
      <c r="G256" s="27" t="s">
        <v>128</v>
      </c>
      <c r="H256" s="27" t="s">
        <v>13</v>
      </c>
      <c r="I256" s="29" t="s">
        <v>274</v>
      </c>
    </row>
    <row r="257" customFormat="false" ht="15" hidden="false" customHeight="false" outlineLevel="0" collapsed="false">
      <c r="A257" s="27" t="s">
        <v>389</v>
      </c>
      <c r="B257" s="27" t="s">
        <v>371</v>
      </c>
      <c r="C257" s="27" t="n">
        <v>48404206</v>
      </c>
      <c r="D257" s="28" t="n">
        <v>0.583333333333333</v>
      </c>
      <c r="E257" s="28" t="n">
        <v>0.75</v>
      </c>
      <c r="F257" s="27" t="s">
        <v>157</v>
      </c>
      <c r="G257" s="27" t="s">
        <v>128</v>
      </c>
      <c r="H257" s="27" t="s">
        <v>17</v>
      </c>
      <c r="I257" s="29" t="s">
        <v>15</v>
      </c>
    </row>
    <row r="258" customFormat="false" ht="15" hidden="false" customHeight="false" outlineLevel="0" collapsed="false">
      <c r="A258" s="27" t="s">
        <v>389</v>
      </c>
      <c r="B258" s="27" t="s">
        <v>288</v>
      </c>
      <c r="C258" s="27" t="n">
        <v>22472550</v>
      </c>
      <c r="D258" s="28" t="n">
        <v>0.583333333333333</v>
      </c>
      <c r="E258" s="28" t="n">
        <v>0.75</v>
      </c>
      <c r="F258" s="27" t="s">
        <v>157</v>
      </c>
      <c r="G258" s="27" t="s">
        <v>128</v>
      </c>
      <c r="H258" s="27" t="s">
        <v>13</v>
      </c>
      <c r="I258" s="29" t="s">
        <v>240</v>
      </c>
    </row>
    <row r="259" customFormat="false" ht="15" hidden="false" customHeight="false" outlineLevel="0" collapsed="false">
      <c r="A259" s="27" t="s">
        <v>389</v>
      </c>
      <c r="B259" s="27" t="s">
        <v>315</v>
      </c>
      <c r="C259" s="27" t="n">
        <v>36809221</v>
      </c>
      <c r="D259" s="28" t="n">
        <v>0.583333333333333</v>
      </c>
      <c r="E259" s="28" t="n">
        <v>0.75</v>
      </c>
      <c r="F259" s="27" t="s">
        <v>157</v>
      </c>
      <c r="G259" s="27" t="s">
        <v>128</v>
      </c>
      <c r="H259" s="27" t="s">
        <v>16</v>
      </c>
      <c r="I259" s="29" t="s">
        <v>274</v>
      </c>
    </row>
    <row r="260" customFormat="false" ht="15" hidden="false" customHeight="false" outlineLevel="0" collapsed="false">
      <c r="A260" s="27" t="s">
        <v>390</v>
      </c>
      <c r="B260" s="27" t="s">
        <v>381</v>
      </c>
      <c r="C260" s="27" t="n">
        <v>25391529</v>
      </c>
      <c r="D260" s="28" t="n">
        <v>0.583333333333333</v>
      </c>
      <c r="E260" s="28" t="n">
        <v>0.75</v>
      </c>
      <c r="F260" s="27" t="s">
        <v>161</v>
      </c>
      <c r="G260" s="27" t="s">
        <v>128</v>
      </c>
      <c r="H260" s="27" t="s">
        <v>17</v>
      </c>
      <c r="I260" s="29" t="s">
        <v>15</v>
      </c>
    </row>
    <row r="261" customFormat="false" ht="15" hidden="false" customHeight="false" outlineLevel="0" collapsed="false">
      <c r="A261" s="27" t="s">
        <v>390</v>
      </c>
      <c r="B261" s="27" t="s">
        <v>391</v>
      </c>
      <c r="C261" s="27" t="n">
        <v>22445397</v>
      </c>
      <c r="D261" s="28" t="n">
        <v>0.583333333333333</v>
      </c>
      <c r="E261" s="28" t="n">
        <v>0.75</v>
      </c>
      <c r="F261" s="27" t="s">
        <v>161</v>
      </c>
      <c r="G261" s="27" t="s">
        <v>128</v>
      </c>
      <c r="H261" s="27" t="s">
        <v>16</v>
      </c>
      <c r="I261" s="29" t="s">
        <v>240</v>
      </c>
    </row>
    <row r="262" customFormat="false" ht="15" hidden="false" customHeight="false" outlineLevel="0" collapsed="false">
      <c r="A262" s="30" t="s">
        <v>390</v>
      </c>
      <c r="B262" s="30" t="s">
        <v>392</v>
      </c>
      <c r="C262" s="30" t="n">
        <v>36550061</v>
      </c>
      <c r="D262" s="31" t="n">
        <v>0.583333333333333</v>
      </c>
      <c r="E262" s="31" t="n">
        <v>0.75</v>
      </c>
      <c r="F262" s="30" t="s">
        <v>161</v>
      </c>
      <c r="G262" s="30" t="s">
        <v>128</v>
      </c>
      <c r="H262" s="30" t="s">
        <v>13</v>
      </c>
      <c r="I262" s="29" t="s">
        <v>274</v>
      </c>
    </row>
    <row r="263" customFormat="false" ht="15" hidden="false" customHeight="false" outlineLevel="0" collapsed="false">
      <c r="A263" s="27" t="s">
        <v>393</v>
      </c>
      <c r="B263" s="27" t="s">
        <v>367</v>
      </c>
      <c r="C263" s="27" t="n">
        <v>45459854</v>
      </c>
      <c r="D263" s="28" t="n">
        <v>0.583333333333333</v>
      </c>
      <c r="E263" s="28" t="n">
        <v>0.75</v>
      </c>
      <c r="F263" s="27" t="s">
        <v>166</v>
      </c>
      <c r="G263" s="27" t="s">
        <v>128</v>
      </c>
      <c r="H263" s="27" t="s">
        <v>16</v>
      </c>
      <c r="I263" s="29" t="s">
        <v>15</v>
      </c>
    </row>
    <row r="264" customFormat="false" ht="15" hidden="false" customHeight="false" outlineLevel="0" collapsed="false">
      <c r="A264" s="27" t="s">
        <v>393</v>
      </c>
      <c r="B264" s="27" t="s">
        <v>304</v>
      </c>
      <c r="C264" s="27" t="n">
        <v>28817028</v>
      </c>
      <c r="D264" s="28" t="n">
        <v>0.583333333333333</v>
      </c>
      <c r="E264" s="28" t="n">
        <v>0.75</v>
      </c>
      <c r="F264" s="27" t="s">
        <v>166</v>
      </c>
      <c r="G264" s="27" t="s">
        <v>128</v>
      </c>
      <c r="H264" s="27" t="s">
        <v>17</v>
      </c>
      <c r="I264" s="29" t="s">
        <v>240</v>
      </c>
    </row>
    <row r="265" customFormat="false" ht="15" hidden="false" customHeight="false" outlineLevel="0" collapsed="false">
      <c r="A265" s="27" t="s">
        <v>393</v>
      </c>
      <c r="B265" s="27" t="s">
        <v>384</v>
      </c>
      <c r="C265" s="27" t="n">
        <v>41236033</v>
      </c>
      <c r="D265" s="28" t="n">
        <v>0.583333333333333</v>
      </c>
      <c r="E265" s="28" t="n">
        <v>0.75</v>
      </c>
      <c r="F265" s="27" t="s">
        <v>166</v>
      </c>
      <c r="G265" s="27" t="s">
        <v>128</v>
      </c>
      <c r="H265" s="27" t="s">
        <v>13</v>
      </c>
      <c r="I265" s="29" t="s">
        <v>274</v>
      </c>
    </row>
    <row r="266" customFormat="false" ht="15" hidden="false" customHeight="false" outlineLevel="0" collapsed="false">
      <c r="A266" s="27" t="s">
        <v>394</v>
      </c>
      <c r="B266" s="27" t="s">
        <v>225</v>
      </c>
      <c r="C266" s="27" t="n">
        <v>49927429</v>
      </c>
      <c r="D266" s="28" t="n">
        <v>0.583333333333333</v>
      </c>
      <c r="E266" s="28" t="n">
        <v>0.75</v>
      </c>
      <c r="F266" s="27" t="s">
        <v>171</v>
      </c>
      <c r="G266" s="27" t="s">
        <v>128</v>
      </c>
      <c r="H266" s="27" t="s">
        <v>17</v>
      </c>
      <c r="I266" s="29" t="s">
        <v>15</v>
      </c>
    </row>
    <row r="267" customFormat="false" ht="15" hidden="false" customHeight="false" outlineLevel="0" collapsed="false">
      <c r="A267" s="27" t="s">
        <v>394</v>
      </c>
      <c r="B267" s="27" t="s">
        <v>361</v>
      </c>
      <c r="C267" s="27" t="n">
        <v>36467727</v>
      </c>
      <c r="D267" s="28" t="n">
        <v>0.583333333333333</v>
      </c>
      <c r="E267" s="28" t="n">
        <v>0.75</v>
      </c>
      <c r="F267" s="27" t="s">
        <v>171</v>
      </c>
      <c r="G267" s="27" t="s">
        <v>128</v>
      </c>
      <c r="H267" s="27" t="s">
        <v>13</v>
      </c>
      <c r="I267" s="29" t="s">
        <v>240</v>
      </c>
    </row>
    <row r="268" customFormat="false" ht="15" hidden="false" customHeight="false" outlineLevel="0" collapsed="false">
      <c r="A268" s="27" t="s">
        <v>394</v>
      </c>
      <c r="B268" s="27" t="s">
        <v>232</v>
      </c>
      <c r="C268" s="27" t="n">
        <v>31613463</v>
      </c>
      <c r="D268" s="28" t="n">
        <v>0.583333333333333</v>
      </c>
      <c r="E268" s="28" t="n">
        <v>0.75</v>
      </c>
      <c r="F268" s="27" t="s">
        <v>171</v>
      </c>
      <c r="G268" s="27" t="s">
        <v>128</v>
      </c>
      <c r="H268" s="27" t="s">
        <v>16</v>
      </c>
      <c r="I268" s="29" t="s">
        <v>274</v>
      </c>
    </row>
    <row r="269" customFormat="false" ht="15" hidden="false" customHeight="false" outlineLevel="0" collapsed="false">
      <c r="A269" s="27" t="s">
        <v>395</v>
      </c>
      <c r="B269" s="27" t="s">
        <v>168</v>
      </c>
      <c r="C269" s="27" t="n">
        <v>20100804</v>
      </c>
      <c r="D269" s="28" t="n">
        <v>0.583333333333333</v>
      </c>
      <c r="E269" s="28" t="n">
        <v>0.75</v>
      </c>
      <c r="F269" s="27" t="s">
        <v>175</v>
      </c>
      <c r="G269" s="27" t="s">
        <v>128</v>
      </c>
      <c r="H269" s="27" t="s">
        <v>13</v>
      </c>
      <c r="I269" s="29" t="s">
        <v>15</v>
      </c>
    </row>
    <row r="270" customFormat="false" ht="15" hidden="false" customHeight="false" outlineLevel="0" collapsed="false">
      <c r="A270" s="27" t="s">
        <v>395</v>
      </c>
      <c r="B270" s="27" t="s">
        <v>386</v>
      </c>
      <c r="C270" s="27" t="n">
        <v>47797909</v>
      </c>
      <c r="D270" s="28" t="n">
        <v>0.583333333333333</v>
      </c>
      <c r="E270" s="28" t="n">
        <v>0.75</v>
      </c>
      <c r="F270" s="27" t="s">
        <v>175</v>
      </c>
      <c r="G270" s="27" t="s">
        <v>128</v>
      </c>
      <c r="H270" s="27" t="s">
        <v>16</v>
      </c>
      <c r="I270" s="29" t="s">
        <v>240</v>
      </c>
    </row>
    <row r="271" customFormat="false" ht="15" hidden="false" customHeight="false" outlineLevel="0" collapsed="false">
      <c r="A271" s="27" t="s">
        <v>395</v>
      </c>
      <c r="B271" s="27" t="s">
        <v>396</v>
      </c>
      <c r="C271" s="27" t="n">
        <v>27130872</v>
      </c>
      <c r="D271" s="28" t="n">
        <v>0.583333333333333</v>
      </c>
      <c r="E271" s="28" t="n">
        <v>0.75</v>
      </c>
      <c r="F271" s="27" t="s">
        <v>175</v>
      </c>
      <c r="G271" s="27" t="s">
        <v>128</v>
      </c>
      <c r="H271" s="27" t="s">
        <v>17</v>
      </c>
      <c r="I271" s="29" t="s">
        <v>274</v>
      </c>
    </row>
    <row r="272" customFormat="false" ht="15" hidden="false" customHeight="false" outlineLevel="0" collapsed="false">
      <c r="A272" s="27" t="s">
        <v>397</v>
      </c>
      <c r="B272" s="27" t="s">
        <v>288</v>
      </c>
      <c r="C272" s="27" t="n">
        <v>22472550</v>
      </c>
      <c r="D272" s="28" t="n">
        <v>0.583333333333333</v>
      </c>
      <c r="E272" s="28" t="n">
        <v>0.75</v>
      </c>
      <c r="F272" s="27" t="s">
        <v>179</v>
      </c>
      <c r="G272" s="27" t="s">
        <v>128</v>
      </c>
      <c r="H272" s="27" t="s">
        <v>13</v>
      </c>
      <c r="I272" s="29" t="s">
        <v>15</v>
      </c>
    </row>
    <row r="273" customFormat="false" ht="15" hidden="false" customHeight="false" outlineLevel="0" collapsed="false">
      <c r="A273" s="27" t="s">
        <v>397</v>
      </c>
      <c r="B273" s="27" t="s">
        <v>241</v>
      </c>
      <c r="C273" s="27" t="n">
        <v>32542640</v>
      </c>
      <c r="D273" s="28" t="n">
        <v>0.583333333333333</v>
      </c>
      <c r="E273" s="28" t="n">
        <v>0.75</v>
      </c>
      <c r="F273" s="27" t="s">
        <v>179</v>
      </c>
      <c r="G273" s="27" t="s">
        <v>128</v>
      </c>
      <c r="H273" s="27" t="s">
        <v>16</v>
      </c>
      <c r="I273" s="29" t="s">
        <v>240</v>
      </c>
    </row>
    <row r="274" customFormat="false" ht="15" hidden="false" customHeight="false" outlineLevel="0" collapsed="false">
      <c r="A274" s="27" t="s">
        <v>397</v>
      </c>
      <c r="B274" s="27" t="s">
        <v>346</v>
      </c>
      <c r="C274" s="27" t="n">
        <v>30293048</v>
      </c>
      <c r="D274" s="28" t="n">
        <v>0.583333333333333</v>
      </c>
      <c r="E274" s="28" t="n">
        <v>0.75</v>
      </c>
      <c r="F274" s="27" t="s">
        <v>179</v>
      </c>
      <c r="G274" s="27" t="s">
        <v>128</v>
      </c>
      <c r="H274" s="27" t="s">
        <v>17</v>
      </c>
      <c r="I274" s="29" t="s">
        <v>274</v>
      </c>
    </row>
    <row r="275" customFormat="false" ht="15" hidden="false" customHeight="false" outlineLevel="0" collapsed="false">
      <c r="A275" s="27" t="s">
        <v>398</v>
      </c>
      <c r="B275" s="27" t="s">
        <v>304</v>
      </c>
      <c r="C275" s="27" t="n">
        <v>28817028</v>
      </c>
      <c r="D275" s="28" t="n">
        <v>0.583333333333333</v>
      </c>
      <c r="E275" s="28" t="n">
        <v>0.75</v>
      </c>
      <c r="F275" s="27" t="s">
        <v>183</v>
      </c>
      <c r="G275" s="27" t="s">
        <v>128</v>
      </c>
      <c r="H275" s="27" t="s">
        <v>16</v>
      </c>
      <c r="I275" s="29" t="s">
        <v>93</v>
      </c>
    </row>
    <row r="276" customFormat="false" ht="15" hidden="false" customHeight="false" outlineLevel="0" collapsed="false">
      <c r="A276" s="27" t="s">
        <v>398</v>
      </c>
      <c r="B276" s="27" t="s">
        <v>359</v>
      </c>
      <c r="C276" s="27" t="n">
        <v>33174493</v>
      </c>
      <c r="D276" s="28" t="n">
        <v>0.583333333333333</v>
      </c>
      <c r="E276" s="28" t="n">
        <v>0.75</v>
      </c>
      <c r="F276" s="27" t="s">
        <v>183</v>
      </c>
      <c r="G276" s="27" t="s">
        <v>128</v>
      </c>
      <c r="H276" s="27" t="s">
        <v>17</v>
      </c>
      <c r="I276" s="29" t="s">
        <v>240</v>
      </c>
    </row>
    <row r="277" customFormat="false" ht="15" hidden="false" customHeight="false" outlineLevel="0" collapsed="false">
      <c r="A277" s="27" t="s">
        <v>398</v>
      </c>
      <c r="B277" s="27" t="s">
        <v>350</v>
      </c>
      <c r="C277" s="27" t="n">
        <v>32581859</v>
      </c>
      <c r="D277" s="28" t="n">
        <v>0.583333333333333</v>
      </c>
      <c r="E277" s="28" t="n">
        <v>0.75</v>
      </c>
      <c r="F277" s="27" t="s">
        <v>183</v>
      </c>
      <c r="G277" s="27" t="s">
        <v>128</v>
      </c>
      <c r="H277" s="27" t="s">
        <v>13</v>
      </c>
      <c r="I277" s="29" t="s">
        <v>274</v>
      </c>
    </row>
    <row r="278" customFormat="false" ht="15" hidden="false" customHeight="false" outlineLevel="0" collapsed="false">
      <c r="A278" s="27" t="s">
        <v>399</v>
      </c>
      <c r="B278" s="27" t="s">
        <v>400</v>
      </c>
      <c r="C278" s="27" t="n">
        <v>32733334</v>
      </c>
      <c r="D278" s="28" t="n">
        <v>0.75</v>
      </c>
      <c r="E278" s="28" t="n">
        <v>0.916666666666667</v>
      </c>
      <c r="F278" s="27" t="s">
        <v>127</v>
      </c>
      <c r="G278" s="27" t="s">
        <v>128</v>
      </c>
      <c r="H278" s="27" t="s">
        <v>16</v>
      </c>
      <c r="I278" s="29" t="s">
        <v>93</v>
      </c>
    </row>
    <row r="279" customFormat="false" ht="15" hidden="false" customHeight="false" outlineLevel="0" collapsed="false">
      <c r="A279" s="27" t="s">
        <v>399</v>
      </c>
      <c r="B279" s="27" t="s">
        <v>401</v>
      </c>
      <c r="C279" s="27" t="n">
        <v>30506013</v>
      </c>
      <c r="D279" s="28" t="n">
        <v>0.75</v>
      </c>
      <c r="E279" s="28" t="n">
        <v>0.916666666666667</v>
      </c>
      <c r="F279" s="27" t="s">
        <v>226</v>
      </c>
      <c r="G279" s="27" t="s">
        <v>222</v>
      </c>
      <c r="H279" s="27" t="s">
        <v>17</v>
      </c>
      <c r="I279" s="29" t="s">
        <v>274</v>
      </c>
    </row>
    <row r="280" customFormat="false" ht="15" hidden="false" customHeight="false" outlineLevel="0" collapsed="false">
      <c r="A280" s="27" t="s">
        <v>399</v>
      </c>
      <c r="B280" s="27" t="s">
        <v>348</v>
      </c>
      <c r="C280" s="27" t="n">
        <v>43450832</v>
      </c>
      <c r="D280" s="28" t="n">
        <v>0.75</v>
      </c>
      <c r="E280" s="28" t="n">
        <v>0.916666666666667</v>
      </c>
      <c r="F280" s="27" t="s">
        <v>127</v>
      </c>
      <c r="G280" s="27" t="s">
        <v>128</v>
      </c>
      <c r="H280" s="27" t="s">
        <v>13</v>
      </c>
      <c r="I280" s="29" t="s">
        <v>141</v>
      </c>
    </row>
    <row r="281" customFormat="false" ht="15" hidden="false" customHeight="false" outlineLevel="0" collapsed="false">
      <c r="A281" s="27" t="s">
        <v>402</v>
      </c>
      <c r="B281" s="27" t="s">
        <v>403</v>
      </c>
      <c r="C281" s="27" t="n">
        <v>28559865</v>
      </c>
      <c r="D281" s="28" t="n">
        <v>0.75</v>
      </c>
      <c r="E281" s="28" t="n">
        <v>0.916666666666667</v>
      </c>
      <c r="F281" s="27" t="s">
        <v>133</v>
      </c>
      <c r="G281" s="27" t="s">
        <v>128</v>
      </c>
      <c r="H281" s="27" t="s">
        <v>16</v>
      </c>
      <c r="I281" s="29" t="s">
        <v>93</v>
      </c>
    </row>
    <row r="282" customFormat="false" ht="15" hidden="false" customHeight="false" outlineLevel="0" collapsed="false">
      <c r="A282" s="27" t="s">
        <v>402</v>
      </c>
      <c r="B282" s="27" t="s">
        <v>206</v>
      </c>
      <c r="C282" s="27" t="n">
        <v>41033964</v>
      </c>
      <c r="D282" s="28" t="n">
        <v>0.75</v>
      </c>
      <c r="E282" s="28" t="n">
        <v>0.916666666666667</v>
      </c>
      <c r="F282" s="27" t="s">
        <v>335</v>
      </c>
      <c r="G282" s="27" t="s">
        <v>222</v>
      </c>
      <c r="H282" s="27" t="s">
        <v>13</v>
      </c>
      <c r="I282" s="29" t="s">
        <v>274</v>
      </c>
    </row>
    <row r="283" customFormat="false" ht="15" hidden="false" customHeight="false" outlineLevel="0" collapsed="false">
      <c r="A283" s="27" t="s">
        <v>402</v>
      </c>
      <c r="B283" s="27" t="s">
        <v>206</v>
      </c>
      <c r="C283" s="27" t="n">
        <v>41033964</v>
      </c>
      <c r="D283" s="28" t="n">
        <v>0.75</v>
      </c>
      <c r="E283" s="28" t="n">
        <v>0.916666666666667</v>
      </c>
      <c r="F283" s="27" t="s">
        <v>133</v>
      </c>
      <c r="G283" s="27" t="s">
        <v>128</v>
      </c>
      <c r="H283" s="27" t="s">
        <v>13</v>
      </c>
      <c r="I283" s="29" t="s">
        <v>141</v>
      </c>
    </row>
    <row r="284" customFormat="false" ht="15" hidden="false" customHeight="false" outlineLevel="0" collapsed="false">
      <c r="A284" s="27" t="s">
        <v>404</v>
      </c>
      <c r="B284" s="27" t="s">
        <v>405</v>
      </c>
      <c r="C284" s="27" t="n">
        <v>24362340</v>
      </c>
      <c r="D284" s="28" t="n">
        <v>0.75</v>
      </c>
      <c r="E284" s="28" t="n">
        <v>0.916666666666667</v>
      </c>
      <c r="F284" s="27" t="s">
        <v>138</v>
      </c>
      <c r="G284" s="27" t="s">
        <v>128</v>
      </c>
      <c r="H284" s="27" t="s">
        <v>13</v>
      </c>
      <c r="I284" s="29" t="s">
        <v>93</v>
      </c>
    </row>
    <row r="285" customFormat="false" ht="15" hidden="false" customHeight="false" outlineLevel="0" collapsed="false">
      <c r="A285" s="27" t="s">
        <v>404</v>
      </c>
      <c r="B285" s="27" t="s">
        <v>406</v>
      </c>
      <c r="C285" s="27" t="n">
        <v>33125252</v>
      </c>
      <c r="D285" s="28" t="n">
        <v>0.75</v>
      </c>
      <c r="E285" s="28" t="n">
        <v>0.916666666666667</v>
      </c>
      <c r="F285" s="27" t="s">
        <v>235</v>
      </c>
      <c r="G285" s="27" t="s">
        <v>222</v>
      </c>
      <c r="H285" s="27" t="s">
        <v>17</v>
      </c>
      <c r="I285" s="29" t="s">
        <v>274</v>
      </c>
    </row>
    <row r="286" customFormat="false" ht="15" hidden="false" customHeight="false" outlineLevel="0" collapsed="false">
      <c r="A286" s="27" t="s">
        <v>404</v>
      </c>
      <c r="B286" s="27" t="s">
        <v>406</v>
      </c>
      <c r="C286" s="27" t="n">
        <v>33125252</v>
      </c>
      <c r="D286" s="28" t="n">
        <v>0.75</v>
      </c>
      <c r="E286" s="28" t="n">
        <v>0.916666666666667</v>
      </c>
      <c r="F286" s="27" t="s">
        <v>138</v>
      </c>
      <c r="G286" s="27" t="s">
        <v>128</v>
      </c>
      <c r="H286" s="27" t="s">
        <v>17</v>
      </c>
      <c r="I286" s="29" t="s">
        <v>141</v>
      </c>
    </row>
    <row r="287" customFormat="false" ht="15" hidden="false" customHeight="false" outlineLevel="0" collapsed="false">
      <c r="A287" s="27" t="s">
        <v>407</v>
      </c>
      <c r="B287" s="27" t="s">
        <v>408</v>
      </c>
      <c r="C287" s="27" t="n">
        <v>26162100</v>
      </c>
      <c r="D287" s="28" t="n">
        <v>0.75</v>
      </c>
      <c r="E287" s="28" t="n">
        <v>0.916666666666667</v>
      </c>
      <c r="F287" s="27" t="s">
        <v>144</v>
      </c>
      <c r="G287" s="27" t="s">
        <v>128</v>
      </c>
      <c r="H287" s="27" t="s">
        <v>13</v>
      </c>
      <c r="I287" s="29" t="s">
        <v>93</v>
      </c>
    </row>
    <row r="288" customFormat="false" ht="15" hidden="false" customHeight="false" outlineLevel="0" collapsed="false">
      <c r="A288" s="27" t="s">
        <v>407</v>
      </c>
      <c r="B288" s="27" t="s">
        <v>409</v>
      </c>
      <c r="C288" s="27" t="n">
        <v>29592174</v>
      </c>
      <c r="D288" s="28" t="n">
        <v>0.75</v>
      </c>
      <c r="E288" s="28" t="n">
        <v>0.916666666666667</v>
      </c>
      <c r="F288" s="27" t="s">
        <v>344</v>
      </c>
      <c r="G288" s="27" t="s">
        <v>222</v>
      </c>
      <c r="H288" s="27" t="s">
        <v>16</v>
      </c>
      <c r="I288" s="29" t="s">
        <v>274</v>
      </c>
    </row>
    <row r="289" customFormat="false" ht="15" hidden="false" customHeight="false" outlineLevel="0" collapsed="false">
      <c r="A289" s="27" t="s">
        <v>407</v>
      </c>
      <c r="B289" s="27" t="s">
        <v>410</v>
      </c>
      <c r="C289" s="27" t="n">
        <v>23548980</v>
      </c>
      <c r="D289" s="28" t="n">
        <v>0.75</v>
      </c>
      <c r="E289" s="28" t="n">
        <v>0.916666666666667</v>
      </c>
      <c r="F289" s="27" t="s">
        <v>144</v>
      </c>
      <c r="G289" s="27" t="s">
        <v>128</v>
      </c>
      <c r="H289" s="27" t="s">
        <v>17</v>
      </c>
      <c r="I289" s="29" t="s">
        <v>141</v>
      </c>
    </row>
    <row r="290" customFormat="false" ht="15" hidden="false" customHeight="false" outlineLevel="0" collapsed="false">
      <c r="A290" s="27" t="s">
        <v>411</v>
      </c>
      <c r="B290" s="27" t="s">
        <v>412</v>
      </c>
      <c r="C290" s="27" t="n">
        <v>35414184</v>
      </c>
      <c r="D290" s="28" t="n">
        <v>0.75</v>
      </c>
      <c r="E290" s="28" t="n">
        <v>0.916666666666667</v>
      </c>
      <c r="F290" s="27" t="s">
        <v>329</v>
      </c>
      <c r="G290" s="27" t="s">
        <v>128</v>
      </c>
      <c r="H290" s="27" t="s">
        <v>17</v>
      </c>
      <c r="I290" s="29" t="s">
        <v>93</v>
      </c>
    </row>
    <row r="291" customFormat="false" ht="15" hidden="false" customHeight="false" outlineLevel="0" collapsed="false">
      <c r="A291" s="27" t="s">
        <v>411</v>
      </c>
      <c r="B291" s="27" t="s">
        <v>234</v>
      </c>
      <c r="C291" s="27" t="n">
        <v>45500200</v>
      </c>
      <c r="D291" s="28" t="n">
        <v>0.75</v>
      </c>
      <c r="E291" s="28" t="n">
        <v>0.916666666666667</v>
      </c>
      <c r="F291" s="27" t="s">
        <v>243</v>
      </c>
      <c r="G291" s="27" t="s">
        <v>222</v>
      </c>
      <c r="H291" s="27" t="s">
        <v>13</v>
      </c>
      <c r="I291" s="29" t="s">
        <v>274</v>
      </c>
    </row>
    <row r="292" customFormat="false" ht="15" hidden="false" customHeight="false" outlineLevel="0" collapsed="false">
      <c r="A292" s="27" t="s">
        <v>411</v>
      </c>
      <c r="B292" s="27" t="s">
        <v>413</v>
      </c>
      <c r="C292" s="27" t="n">
        <v>38026746</v>
      </c>
      <c r="D292" s="28" t="n">
        <v>0.75</v>
      </c>
      <c r="E292" s="28" t="n">
        <v>0.916666666666667</v>
      </c>
      <c r="F292" s="27" t="s">
        <v>329</v>
      </c>
      <c r="G292" s="27" t="s">
        <v>128</v>
      </c>
      <c r="H292" s="27" t="s">
        <v>16</v>
      </c>
      <c r="I292" s="29" t="s">
        <v>141</v>
      </c>
    </row>
    <row r="293" customFormat="false" ht="15" hidden="false" customHeight="false" outlineLevel="0" collapsed="false">
      <c r="A293" s="27" t="s">
        <v>414</v>
      </c>
      <c r="B293" s="27" t="s">
        <v>415</v>
      </c>
      <c r="C293" s="27" t="n">
        <v>28548701</v>
      </c>
      <c r="D293" s="28" t="n">
        <v>0.75</v>
      </c>
      <c r="E293" s="28" t="n">
        <v>0.916666666666667</v>
      </c>
      <c r="F293" s="27" t="s">
        <v>149</v>
      </c>
      <c r="G293" s="27" t="s">
        <v>128</v>
      </c>
      <c r="H293" s="27" t="s">
        <v>16</v>
      </c>
      <c r="I293" s="29" t="s">
        <v>93</v>
      </c>
    </row>
    <row r="294" customFormat="false" ht="15" hidden="false" customHeight="false" outlineLevel="0" collapsed="false">
      <c r="A294" s="27" t="s">
        <v>414</v>
      </c>
      <c r="B294" s="27" t="s">
        <v>416</v>
      </c>
      <c r="C294" s="27" t="n">
        <v>26166306</v>
      </c>
      <c r="D294" s="28" t="n">
        <v>0.75</v>
      </c>
      <c r="E294" s="28" t="n">
        <v>0.916666666666667</v>
      </c>
      <c r="F294" s="27" t="s">
        <v>246</v>
      </c>
      <c r="G294" s="27" t="s">
        <v>222</v>
      </c>
      <c r="H294" s="27" t="s">
        <v>13</v>
      </c>
      <c r="I294" s="29" t="s">
        <v>274</v>
      </c>
    </row>
    <row r="295" customFormat="false" ht="15" hidden="false" customHeight="false" outlineLevel="0" collapsed="false">
      <c r="A295" s="27" t="s">
        <v>414</v>
      </c>
      <c r="B295" s="27" t="s">
        <v>417</v>
      </c>
      <c r="C295" s="27" t="n">
        <v>39532469</v>
      </c>
      <c r="D295" s="28" t="n">
        <v>0.75</v>
      </c>
      <c r="E295" s="28" t="n">
        <v>0.916666666666667</v>
      </c>
      <c r="F295" s="27" t="s">
        <v>149</v>
      </c>
      <c r="G295" s="27" t="s">
        <v>128</v>
      </c>
      <c r="H295" s="27" t="s">
        <v>17</v>
      </c>
      <c r="I295" s="29" t="s">
        <v>141</v>
      </c>
    </row>
    <row r="296" customFormat="false" ht="15" hidden="false" customHeight="false" outlineLevel="0" collapsed="false">
      <c r="A296" s="27" t="s">
        <v>418</v>
      </c>
      <c r="B296" s="27" t="s">
        <v>268</v>
      </c>
      <c r="C296" s="27" t="n">
        <v>39105708</v>
      </c>
      <c r="D296" s="28" t="n">
        <v>0.75</v>
      </c>
      <c r="E296" s="28" t="n">
        <v>0.916666666666667</v>
      </c>
      <c r="F296" s="27" t="s">
        <v>153</v>
      </c>
      <c r="G296" s="27" t="s">
        <v>128</v>
      </c>
      <c r="H296" s="27" t="s">
        <v>17</v>
      </c>
      <c r="I296" s="29" t="s">
        <v>93</v>
      </c>
    </row>
    <row r="297" customFormat="false" ht="15" hidden="false" customHeight="false" outlineLevel="0" collapsed="false">
      <c r="A297" s="27" t="s">
        <v>418</v>
      </c>
      <c r="B297" s="27" t="s">
        <v>419</v>
      </c>
      <c r="C297" s="27" t="n">
        <v>22051796</v>
      </c>
      <c r="D297" s="28" t="n">
        <v>0.75</v>
      </c>
      <c r="E297" s="28" t="n">
        <v>0.916666666666667</v>
      </c>
      <c r="F297" s="27" t="s">
        <v>250</v>
      </c>
      <c r="G297" s="27" t="s">
        <v>222</v>
      </c>
      <c r="H297" s="27" t="s">
        <v>13</v>
      </c>
      <c r="I297" s="29" t="s">
        <v>274</v>
      </c>
    </row>
    <row r="298" customFormat="false" ht="15" hidden="false" customHeight="false" outlineLevel="0" collapsed="false">
      <c r="A298" s="27" t="s">
        <v>418</v>
      </c>
      <c r="B298" s="27" t="s">
        <v>415</v>
      </c>
      <c r="C298" s="27" t="n">
        <v>28548701</v>
      </c>
      <c r="D298" s="28" t="n">
        <v>0.75</v>
      </c>
      <c r="E298" s="28" t="n">
        <v>0.916666666666667</v>
      </c>
      <c r="F298" s="27" t="s">
        <v>153</v>
      </c>
      <c r="G298" s="27" t="s">
        <v>128</v>
      </c>
      <c r="H298" s="27" t="s">
        <v>16</v>
      </c>
      <c r="I298" s="29" t="s">
        <v>141</v>
      </c>
    </row>
    <row r="299" customFormat="false" ht="15" hidden="false" customHeight="false" outlineLevel="0" collapsed="false">
      <c r="A299" s="27" t="s">
        <v>420</v>
      </c>
      <c r="B299" s="27" t="s">
        <v>421</v>
      </c>
      <c r="C299" s="27" t="n">
        <v>41063336</v>
      </c>
      <c r="D299" s="28" t="n">
        <v>0.75</v>
      </c>
      <c r="E299" s="28" t="n">
        <v>0.916666666666667</v>
      </c>
      <c r="F299" s="27" t="s">
        <v>157</v>
      </c>
      <c r="G299" s="27" t="s">
        <v>128</v>
      </c>
      <c r="H299" s="27" t="s">
        <v>17</v>
      </c>
      <c r="I299" s="29" t="s">
        <v>93</v>
      </c>
    </row>
    <row r="300" customFormat="false" ht="15" hidden="false" customHeight="false" outlineLevel="0" collapsed="false">
      <c r="A300" s="27" t="s">
        <v>420</v>
      </c>
      <c r="B300" s="27" t="s">
        <v>308</v>
      </c>
      <c r="C300" s="27" t="n">
        <v>46115210</v>
      </c>
      <c r="D300" s="28" t="n">
        <v>0.75</v>
      </c>
      <c r="E300" s="28" t="n">
        <v>0.916666666666667</v>
      </c>
      <c r="F300" s="27" t="s">
        <v>254</v>
      </c>
      <c r="G300" s="27" t="s">
        <v>222</v>
      </c>
      <c r="H300" s="27" t="s">
        <v>13</v>
      </c>
      <c r="I300" s="29" t="s">
        <v>274</v>
      </c>
    </row>
    <row r="301" customFormat="false" ht="15" hidden="false" customHeight="false" outlineLevel="0" collapsed="false">
      <c r="A301" s="27" t="s">
        <v>420</v>
      </c>
      <c r="B301" s="27" t="s">
        <v>232</v>
      </c>
      <c r="C301" s="27" t="n">
        <v>31613463</v>
      </c>
      <c r="D301" s="28" t="n">
        <v>0.75</v>
      </c>
      <c r="E301" s="28" t="n">
        <v>0.916666666666667</v>
      </c>
      <c r="F301" s="27" t="s">
        <v>157</v>
      </c>
      <c r="G301" s="27" t="s">
        <v>128</v>
      </c>
      <c r="H301" s="27" t="s">
        <v>16</v>
      </c>
      <c r="I301" s="29" t="s">
        <v>141</v>
      </c>
    </row>
    <row r="302" customFormat="false" ht="15" hidden="false" customHeight="false" outlineLevel="0" collapsed="false">
      <c r="A302" s="27" t="s">
        <v>422</v>
      </c>
      <c r="B302" s="27" t="s">
        <v>423</v>
      </c>
      <c r="C302" s="27" t="n">
        <v>26266966</v>
      </c>
      <c r="D302" s="28" t="n">
        <v>0.75</v>
      </c>
      <c r="E302" s="28" t="n">
        <v>0.916666666666667</v>
      </c>
      <c r="F302" s="27" t="s">
        <v>161</v>
      </c>
      <c r="G302" s="27" t="s">
        <v>128</v>
      </c>
      <c r="H302" s="27" t="s">
        <v>13</v>
      </c>
      <c r="I302" s="29" t="s">
        <v>93</v>
      </c>
    </row>
    <row r="303" customFormat="false" ht="15" hidden="false" customHeight="false" outlineLevel="0" collapsed="false">
      <c r="A303" s="27" t="s">
        <v>422</v>
      </c>
      <c r="B303" s="27" t="s">
        <v>260</v>
      </c>
      <c r="C303" s="27" t="n">
        <v>21115942</v>
      </c>
      <c r="D303" s="28" t="n">
        <v>0.75</v>
      </c>
      <c r="E303" s="28" t="n">
        <v>0.916666666666667</v>
      </c>
      <c r="F303" s="27" t="s">
        <v>259</v>
      </c>
      <c r="G303" s="27" t="s">
        <v>222</v>
      </c>
      <c r="H303" s="27" t="s">
        <v>17</v>
      </c>
      <c r="I303" s="29" t="s">
        <v>274</v>
      </c>
    </row>
    <row r="304" customFormat="false" ht="15" hidden="false" customHeight="false" outlineLevel="0" collapsed="false">
      <c r="A304" s="27" t="s">
        <v>422</v>
      </c>
      <c r="B304" s="27" t="s">
        <v>271</v>
      </c>
      <c r="C304" s="27" t="n">
        <v>20437825</v>
      </c>
      <c r="D304" s="28" t="n">
        <v>0.75</v>
      </c>
      <c r="E304" s="28" t="n">
        <v>0.916666666666667</v>
      </c>
      <c r="F304" s="27" t="s">
        <v>161</v>
      </c>
      <c r="G304" s="27" t="s">
        <v>128</v>
      </c>
      <c r="H304" s="27" t="s">
        <v>16</v>
      </c>
      <c r="I304" s="29" t="s">
        <v>141</v>
      </c>
    </row>
    <row r="305" customFormat="false" ht="15" hidden="false" customHeight="false" outlineLevel="0" collapsed="false">
      <c r="A305" s="27" t="s">
        <v>424</v>
      </c>
      <c r="B305" s="27" t="s">
        <v>406</v>
      </c>
      <c r="C305" s="27" t="n">
        <v>33125252</v>
      </c>
      <c r="D305" s="28" t="n">
        <v>0.75</v>
      </c>
      <c r="E305" s="28" t="n">
        <v>0.916666666666667</v>
      </c>
      <c r="F305" s="27" t="s">
        <v>166</v>
      </c>
      <c r="G305" s="27" t="s">
        <v>128</v>
      </c>
      <c r="H305" s="27" t="s">
        <v>17</v>
      </c>
      <c r="I305" s="29" t="s">
        <v>93</v>
      </c>
    </row>
    <row r="306" customFormat="false" ht="15" hidden="false" customHeight="false" outlineLevel="0" collapsed="false">
      <c r="A306" s="27" t="s">
        <v>424</v>
      </c>
      <c r="B306" s="27" t="s">
        <v>230</v>
      </c>
      <c r="C306" s="27" t="n">
        <v>32051885</v>
      </c>
      <c r="D306" s="28" t="n">
        <v>0.75</v>
      </c>
      <c r="E306" s="28" t="n">
        <v>0.916666666666667</v>
      </c>
      <c r="F306" s="27" t="s">
        <v>263</v>
      </c>
      <c r="G306" s="27" t="s">
        <v>222</v>
      </c>
      <c r="H306" s="27" t="s">
        <v>13</v>
      </c>
      <c r="I306" s="29" t="s">
        <v>274</v>
      </c>
    </row>
    <row r="307" customFormat="false" ht="15" hidden="false" customHeight="false" outlineLevel="0" collapsed="false">
      <c r="A307" s="27" t="s">
        <v>424</v>
      </c>
      <c r="B307" s="27" t="s">
        <v>425</v>
      </c>
      <c r="C307" s="27" t="n">
        <v>42195970</v>
      </c>
      <c r="D307" s="28" t="n">
        <v>0.75</v>
      </c>
      <c r="E307" s="28" t="n">
        <v>0.916666666666667</v>
      </c>
      <c r="F307" s="27" t="s">
        <v>166</v>
      </c>
      <c r="G307" s="27" t="s">
        <v>128</v>
      </c>
      <c r="H307" s="27" t="s">
        <v>16</v>
      </c>
      <c r="I307" s="29" t="s">
        <v>141</v>
      </c>
    </row>
    <row r="308" customFormat="false" ht="15" hidden="false" customHeight="false" outlineLevel="0" collapsed="false">
      <c r="A308" s="27" t="s">
        <v>426</v>
      </c>
      <c r="B308" s="27" t="s">
        <v>427</v>
      </c>
      <c r="C308" s="27" t="n">
        <v>39216024</v>
      </c>
      <c r="D308" s="28" t="n">
        <v>0.75</v>
      </c>
      <c r="E308" s="28" t="n">
        <v>0.916666666666667</v>
      </c>
      <c r="F308" s="27" t="s">
        <v>171</v>
      </c>
      <c r="G308" s="27" t="s">
        <v>128</v>
      </c>
      <c r="H308" s="27" t="s">
        <v>17</v>
      </c>
      <c r="I308" s="29" t="s">
        <v>93</v>
      </c>
    </row>
    <row r="309" customFormat="false" ht="15" hidden="false" customHeight="false" outlineLevel="0" collapsed="false">
      <c r="A309" s="27" t="s">
        <v>426</v>
      </c>
      <c r="B309" s="27" t="s">
        <v>392</v>
      </c>
      <c r="C309" s="27" t="n">
        <v>36550061</v>
      </c>
      <c r="D309" s="28" t="n">
        <v>0.75</v>
      </c>
      <c r="E309" s="28" t="n">
        <v>0.916666666666667</v>
      </c>
      <c r="F309" s="27" t="s">
        <v>267</v>
      </c>
      <c r="G309" s="27" t="s">
        <v>222</v>
      </c>
      <c r="H309" s="27" t="s">
        <v>13</v>
      </c>
      <c r="I309" s="29" t="s">
        <v>274</v>
      </c>
    </row>
    <row r="310" customFormat="false" ht="15" hidden="false" customHeight="false" outlineLevel="0" collapsed="false">
      <c r="A310" s="27" t="s">
        <v>426</v>
      </c>
      <c r="B310" s="27" t="s">
        <v>428</v>
      </c>
      <c r="C310" s="27" t="n">
        <v>43570527</v>
      </c>
      <c r="D310" s="28" t="n">
        <v>0.75</v>
      </c>
      <c r="E310" s="28" t="n">
        <v>0.916666666666667</v>
      </c>
      <c r="F310" s="27" t="s">
        <v>171</v>
      </c>
      <c r="G310" s="27" t="s">
        <v>128</v>
      </c>
      <c r="H310" s="27" t="s">
        <v>16</v>
      </c>
      <c r="I310" s="29" t="s">
        <v>141</v>
      </c>
    </row>
    <row r="311" customFormat="false" ht="15" hidden="false" customHeight="false" outlineLevel="0" collapsed="false">
      <c r="A311" s="27" t="s">
        <v>429</v>
      </c>
      <c r="B311" s="27" t="s">
        <v>413</v>
      </c>
      <c r="C311" s="27" t="n">
        <v>38026746</v>
      </c>
      <c r="D311" s="28" t="n">
        <v>0.75</v>
      </c>
      <c r="E311" s="28" t="n">
        <v>0.916666666666667</v>
      </c>
      <c r="F311" s="27" t="s">
        <v>175</v>
      </c>
      <c r="G311" s="27" t="s">
        <v>128</v>
      </c>
      <c r="H311" s="27" t="s">
        <v>16</v>
      </c>
      <c r="I311" s="29" t="s">
        <v>93</v>
      </c>
    </row>
    <row r="312" customFormat="false" ht="15" hidden="false" customHeight="false" outlineLevel="0" collapsed="false">
      <c r="A312" s="27" t="s">
        <v>429</v>
      </c>
      <c r="B312" s="27" t="s">
        <v>430</v>
      </c>
      <c r="C312" s="27" t="n">
        <v>46142203</v>
      </c>
      <c r="D312" s="28" t="n">
        <v>0.75</v>
      </c>
      <c r="E312" s="28" t="n">
        <v>0.916666666666667</v>
      </c>
      <c r="F312" s="27" t="s">
        <v>175</v>
      </c>
      <c r="G312" s="27" t="s">
        <v>128</v>
      </c>
      <c r="H312" s="27" t="s">
        <v>17</v>
      </c>
      <c r="I312" s="29" t="s">
        <v>274</v>
      </c>
    </row>
    <row r="313" customFormat="false" ht="15" hidden="false" customHeight="false" outlineLevel="0" collapsed="false">
      <c r="A313" s="27" t="s">
        <v>429</v>
      </c>
      <c r="B313" s="27" t="s">
        <v>234</v>
      </c>
      <c r="C313" s="27" t="n">
        <v>45500200</v>
      </c>
      <c r="D313" s="28" t="n">
        <v>0.75</v>
      </c>
      <c r="E313" s="28" t="n">
        <v>0.916666666666667</v>
      </c>
      <c r="F313" s="27" t="s">
        <v>259</v>
      </c>
      <c r="G313" s="27" t="s">
        <v>222</v>
      </c>
      <c r="H313" s="27" t="s">
        <v>13</v>
      </c>
      <c r="I313" s="29" t="s">
        <v>141</v>
      </c>
    </row>
    <row r="314" customFormat="false" ht="15" hidden="false" customHeight="false" outlineLevel="0" collapsed="false">
      <c r="A314" s="27" t="s">
        <v>431</v>
      </c>
      <c r="B314" s="27" t="s">
        <v>425</v>
      </c>
      <c r="C314" s="27" t="n">
        <v>42195970</v>
      </c>
      <c r="D314" s="28" t="n">
        <v>0.75</v>
      </c>
      <c r="E314" s="28" t="n">
        <v>0.916666666666667</v>
      </c>
      <c r="F314" s="27" t="s">
        <v>179</v>
      </c>
      <c r="G314" s="27" t="s">
        <v>128</v>
      </c>
      <c r="H314" s="27" t="s">
        <v>16</v>
      </c>
      <c r="I314" s="29" t="s">
        <v>93</v>
      </c>
    </row>
    <row r="315" customFormat="false" ht="15" hidden="false" customHeight="false" outlineLevel="0" collapsed="false">
      <c r="A315" s="27" t="s">
        <v>431</v>
      </c>
      <c r="B315" s="27" t="s">
        <v>167</v>
      </c>
      <c r="C315" s="27" t="n">
        <v>23976787</v>
      </c>
      <c r="D315" s="28" t="n">
        <v>0.75</v>
      </c>
      <c r="E315" s="28" t="n">
        <v>0.916666666666667</v>
      </c>
      <c r="F315" s="27" t="s">
        <v>179</v>
      </c>
      <c r="G315" s="27" t="s">
        <v>128</v>
      </c>
      <c r="H315" s="27" t="s">
        <v>17</v>
      </c>
      <c r="I315" s="29" t="s">
        <v>274</v>
      </c>
    </row>
    <row r="316" customFormat="false" ht="15" hidden="false" customHeight="false" outlineLevel="0" collapsed="false">
      <c r="A316" s="27" t="s">
        <v>431</v>
      </c>
      <c r="B316" s="27" t="s">
        <v>217</v>
      </c>
      <c r="C316" s="27" t="n">
        <v>49544681</v>
      </c>
      <c r="D316" s="28" t="n">
        <v>0.75</v>
      </c>
      <c r="E316" s="28" t="n">
        <v>0.916666666666667</v>
      </c>
      <c r="F316" s="27" t="s">
        <v>263</v>
      </c>
      <c r="G316" s="27" t="s">
        <v>222</v>
      </c>
      <c r="H316" s="27" t="s">
        <v>13</v>
      </c>
      <c r="I316" s="29" t="s">
        <v>141</v>
      </c>
    </row>
    <row r="317" customFormat="false" ht="15" hidden="false" customHeight="false" outlineLevel="0" collapsed="false">
      <c r="A317" s="27" t="s">
        <v>432</v>
      </c>
      <c r="B317" s="27" t="s">
        <v>285</v>
      </c>
      <c r="C317" s="27" t="n">
        <v>38370985</v>
      </c>
      <c r="D317" s="28" t="n">
        <v>0.75</v>
      </c>
      <c r="E317" s="28" t="n">
        <v>0.916666666666667</v>
      </c>
      <c r="F317" s="27" t="s">
        <v>183</v>
      </c>
      <c r="G317" s="27" t="s">
        <v>128</v>
      </c>
      <c r="H317" s="27" t="s">
        <v>17</v>
      </c>
      <c r="I317" s="29" t="s">
        <v>93</v>
      </c>
    </row>
    <row r="318" customFormat="false" ht="15" hidden="false" customHeight="false" outlineLevel="0" collapsed="false">
      <c r="A318" s="27" t="s">
        <v>432</v>
      </c>
      <c r="B318" s="27" t="s">
        <v>376</v>
      </c>
      <c r="C318" s="27" t="n">
        <v>31008931</v>
      </c>
      <c r="D318" s="28" t="n">
        <v>0.75</v>
      </c>
      <c r="E318" s="28" t="n">
        <v>0.916666666666667</v>
      </c>
      <c r="F318" s="27" t="s">
        <v>183</v>
      </c>
      <c r="G318" s="27" t="s">
        <v>128</v>
      </c>
      <c r="H318" s="27" t="s">
        <v>16</v>
      </c>
      <c r="I318" s="29" t="s">
        <v>274</v>
      </c>
    </row>
    <row r="319" customFormat="false" ht="15" hidden="false" customHeight="false" outlineLevel="0" collapsed="false">
      <c r="A319" s="27" t="s">
        <v>432</v>
      </c>
      <c r="B319" s="27" t="s">
        <v>258</v>
      </c>
      <c r="C319" s="27" t="n">
        <v>22371012</v>
      </c>
      <c r="D319" s="28" t="n">
        <v>0.75</v>
      </c>
      <c r="E319" s="28" t="n">
        <v>0.916666666666667</v>
      </c>
      <c r="F319" s="27" t="s">
        <v>267</v>
      </c>
      <c r="G319" s="27" t="s">
        <v>222</v>
      </c>
      <c r="H319" s="27" t="s">
        <v>13</v>
      </c>
      <c r="I319" s="29" t="s">
        <v>141</v>
      </c>
    </row>
    <row r="320" customFormat="false" ht="15" hidden="false" customHeight="false" outlineLevel="0" collapsed="false">
      <c r="A320" s="27" t="s">
        <v>433</v>
      </c>
      <c r="B320" s="27" t="s">
        <v>258</v>
      </c>
      <c r="C320" s="27" t="n">
        <v>22371012</v>
      </c>
      <c r="D320" s="28" t="n">
        <v>0.75</v>
      </c>
      <c r="E320" s="28" t="n">
        <v>0.916666666666667</v>
      </c>
      <c r="F320" s="27" t="s">
        <v>186</v>
      </c>
      <c r="G320" s="27" t="s">
        <v>128</v>
      </c>
      <c r="H320" s="27" t="s">
        <v>13</v>
      </c>
      <c r="I320" s="29" t="s">
        <v>93</v>
      </c>
    </row>
    <row r="321" customFormat="false" ht="15" hidden="false" customHeight="false" outlineLevel="0" collapsed="false">
      <c r="A321" s="27" t="s">
        <v>433</v>
      </c>
      <c r="B321" s="27" t="s">
        <v>434</v>
      </c>
      <c r="C321" s="27" t="n">
        <v>25014764</v>
      </c>
      <c r="D321" s="28" t="n">
        <v>0.75</v>
      </c>
      <c r="E321" s="28" t="n">
        <v>0.916666666666667</v>
      </c>
      <c r="F321" s="27" t="s">
        <v>186</v>
      </c>
      <c r="G321" s="27" t="s">
        <v>128</v>
      </c>
      <c r="H321" s="27" t="s">
        <v>16</v>
      </c>
      <c r="I321" s="29" t="s">
        <v>274</v>
      </c>
    </row>
    <row r="322" customFormat="false" ht="15" hidden="false" customHeight="false" outlineLevel="0" collapsed="false">
      <c r="A322" s="27" t="s">
        <v>433</v>
      </c>
      <c r="B322" s="27" t="s">
        <v>322</v>
      </c>
      <c r="C322" s="27" t="n">
        <v>42824331</v>
      </c>
      <c r="D322" s="28" t="n">
        <v>0.75</v>
      </c>
      <c r="E322" s="28" t="n">
        <v>0.916666666666667</v>
      </c>
      <c r="F322" s="27" t="s">
        <v>341</v>
      </c>
      <c r="G322" s="27" t="s">
        <v>222</v>
      </c>
      <c r="H322" s="27" t="s">
        <v>17</v>
      </c>
      <c r="I322" s="29" t="s">
        <v>141</v>
      </c>
    </row>
    <row r="323" customFormat="false" ht="15" hidden="false" customHeight="false" outlineLevel="0" collapsed="false">
      <c r="A323" s="27" t="s">
        <v>435</v>
      </c>
      <c r="B323" s="27" t="s">
        <v>154</v>
      </c>
      <c r="C323" s="27" t="n">
        <v>30202642</v>
      </c>
      <c r="D323" s="28" t="n">
        <v>0.75</v>
      </c>
      <c r="E323" s="28" t="n">
        <v>0.916666666666667</v>
      </c>
      <c r="F323" s="27" t="s">
        <v>191</v>
      </c>
      <c r="G323" s="27" t="s">
        <v>128</v>
      </c>
      <c r="H323" s="27" t="s">
        <v>17</v>
      </c>
      <c r="I323" s="29" t="s">
        <v>93</v>
      </c>
    </row>
    <row r="324" customFormat="false" ht="15" hidden="false" customHeight="false" outlineLevel="0" collapsed="false">
      <c r="A324" s="27" t="s">
        <v>435</v>
      </c>
      <c r="B324" s="27" t="s">
        <v>277</v>
      </c>
      <c r="C324" s="27" t="n">
        <v>39166055</v>
      </c>
      <c r="D324" s="28" t="n">
        <v>0.75</v>
      </c>
      <c r="E324" s="28" t="n">
        <v>0.916666666666667</v>
      </c>
      <c r="F324" s="27" t="s">
        <v>191</v>
      </c>
      <c r="G324" s="27" t="s">
        <v>128</v>
      </c>
      <c r="H324" s="27" t="s">
        <v>16</v>
      </c>
      <c r="I324" s="29" t="s">
        <v>274</v>
      </c>
    </row>
    <row r="325" customFormat="false" ht="15" hidden="false" customHeight="false" outlineLevel="0" collapsed="false">
      <c r="A325" s="27" t="s">
        <v>435</v>
      </c>
      <c r="B325" s="27" t="s">
        <v>230</v>
      </c>
      <c r="C325" s="27" t="n">
        <v>32051885</v>
      </c>
      <c r="D325" s="28" t="n">
        <v>0.75</v>
      </c>
      <c r="E325" s="28" t="n">
        <v>0.916666666666667</v>
      </c>
      <c r="F325" s="27" t="s">
        <v>201</v>
      </c>
      <c r="G325" s="27" t="s">
        <v>202</v>
      </c>
      <c r="H325" s="27" t="s">
        <v>13</v>
      </c>
      <c r="I325" s="29" t="s">
        <v>141</v>
      </c>
    </row>
    <row r="326" customFormat="false" ht="15" hidden="false" customHeight="false" outlineLevel="0" collapsed="false">
      <c r="A326" s="27" t="s">
        <v>436</v>
      </c>
      <c r="B326" s="27" t="s">
        <v>140</v>
      </c>
      <c r="C326" s="27" t="n">
        <v>21615461</v>
      </c>
      <c r="D326" s="28" t="n">
        <v>0.75</v>
      </c>
      <c r="E326" s="28" t="n">
        <v>0.916666666666667</v>
      </c>
      <c r="F326" s="27" t="s">
        <v>302</v>
      </c>
      <c r="G326" s="27" t="s">
        <v>128</v>
      </c>
      <c r="H326" s="27" t="s">
        <v>16</v>
      </c>
      <c r="I326" s="29" t="s">
        <v>93</v>
      </c>
    </row>
    <row r="327" customFormat="false" ht="15" hidden="false" customHeight="false" outlineLevel="0" collapsed="false">
      <c r="A327" s="27" t="s">
        <v>436</v>
      </c>
      <c r="B327" s="27" t="s">
        <v>437</v>
      </c>
      <c r="C327" s="27" t="n">
        <v>27342888</v>
      </c>
      <c r="D327" s="28" t="n">
        <v>0.75</v>
      </c>
      <c r="E327" s="28" t="n">
        <v>0.916666666666667</v>
      </c>
      <c r="F327" s="27" t="s">
        <v>302</v>
      </c>
      <c r="G327" s="27" t="s">
        <v>128</v>
      </c>
      <c r="H327" s="27" t="s">
        <v>13</v>
      </c>
      <c r="I327" s="29" t="s">
        <v>274</v>
      </c>
    </row>
    <row r="328" customFormat="false" ht="15" hidden="false" customHeight="false" outlineLevel="0" collapsed="false">
      <c r="A328" s="27" t="s">
        <v>436</v>
      </c>
      <c r="B328" s="27" t="s">
        <v>260</v>
      </c>
      <c r="C328" s="27" t="n">
        <v>21115942</v>
      </c>
      <c r="D328" s="28" t="n">
        <v>0.75</v>
      </c>
      <c r="E328" s="28" t="n">
        <v>0.916666666666667</v>
      </c>
      <c r="F328" s="27" t="s">
        <v>205</v>
      </c>
      <c r="G328" s="27" t="s">
        <v>202</v>
      </c>
      <c r="H328" s="27" t="s">
        <v>17</v>
      </c>
      <c r="I328" s="29" t="s">
        <v>141</v>
      </c>
    </row>
    <row r="329" customFormat="false" ht="15" hidden="false" customHeight="false" outlineLevel="0" collapsed="false">
      <c r="A329" s="27" t="s">
        <v>438</v>
      </c>
      <c r="B329" s="27" t="s">
        <v>439</v>
      </c>
      <c r="C329" s="27" t="n">
        <v>46483735</v>
      </c>
      <c r="D329" s="28" t="n">
        <v>0.75</v>
      </c>
      <c r="E329" s="28" t="n">
        <v>0.916666666666667</v>
      </c>
      <c r="F329" s="27" t="s">
        <v>210</v>
      </c>
      <c r="G329" s="27" t="s">
        <v>202</v>
      </c>
      <c r="H329" s="27" t="s">
        <v>17</v>
      </c>
      <c r="I329" s="29" t="s">
        <v>93</v>
      </c>
    </row>
    <row r="330" customFormat="false" ht="15" hidden="false" customHeight="false" outlineLevel="0" collapsed="false">
      <c r="A330" s="27" t="s">
        <v>438</v>
      </c>
      <c r="B330" s="27" t="s">
        <v>247</v>
      </c>
      <c r="C330" s="27" t="n">
        <v>39028121</v>
      </c>
      <c r="D330" s="28" t="n">
        <v>0.75</v>
      </c>
      <c r="E330" s="28" t="n">
        <v>0.916666666666667</v>
      </c>
      <c r="F330" s="27" t="s">
        <v>210</v>
      </c>
      <c r="G330" s="27" t="s">
        <v>202</v>
      </c>
      <c r="H330" s="27" t="s">
        <v>13</v>
      </c>
      <c r="I330" s="29" t="s">
        <v>274</v>
      </c>
    </row>
    <row r="331" customFormat="false" ht="15" hidden="false" customHeight="false" outlineLevel="0" collapsed="false">
      <c r="A331" s="27" t="s">
        <v>438</v>
      </c>
      <c r="B331" s="27" t="s">
        <v>440</v>
      </c>
      <c r="C331" s="27" t="n">
        <v>27426346</v>
      </c>
      <c r="D331" s="28" t="n">
        <v>0.75</v>
      </c>
      <c r="E331" s="28" t="n">
        <v>0.916666666666667</v>
      </c>
      <c r="F331" s="27" t="s">
        <v>210</v>
      </c>
      <c r="G331" s="27" t="s">
        <v>202</v>
      </c>
      <c r="H331" s="27" t="s">
        <v>440</v>
      </c>
      <c r="I331" s="29" t="s">
        <v>141</v>
      </c>
    </row>
    <row r="332" customFormat="false" ht="15" hidden="false" customHeight="false" outlineLevel="0" collapsed="false">
      <c r="A332" s="27" t="s">
        <v>441</v>
      </c>
      <c r="B332" s="27" t="s">
        <v>437</v>
      </c>
      <c r="C332" s="27" t="n">
        <v>27342888</v>
      </c>
      <c r="D332" s="28" t="n">
        <v>0.75</v>
      </c>
      <c r="E332" s="28" t="n">
        <v>0.916666666666667</v>
      </c>
      <c r="F332" s="27" t="s">
        <v>213</v>
      </c>
      <c r="G332" s="27" t="s">
        <v>202</v>
      </c>
      <c r="H332" s="27" t="s">
        <v>13</v>
      </c>
      <c r="I332" s="29" t="s">
        <v>93</v>
      </c>
    </row>
    <row r="333" customFormat="false" ht="15" hidden="false" customHeight="false" outlineLevel="0" collapsed="false">
      <c r="A333" s="27" t="s">
        <v>441</v>
      </c>
      <c r="B333" s="27" t="s">
        <v>236</v>
      </c>
      <c r="C333" s="27" t="n">
        <v>45167258</v>
      </c>
      <c r="D333" s="28" t="n">
        <v>0.75</v>
      </c>
      <c r="E333" s="28" t="n">
        <v>0.916666666666667</v>
      </c>
      <c r="F333" s="27" t="s">
        <v>213</v>
      </c>
      <c r="G333" s="27" t="s">
        <v>202</v>
      </c>
      <c r="H333" s="27" t="s">
        <v>16</v>
      </c>
      <c r="I333" s="29" t="s">
        <v>274</v>
      </c>
    </row>
    <row r="334" customFormat="false" ht="15" hidden="false" customHeight="false" outlineLevel="0" collapsed="false">
      <c r="A334" s="27" t="s">
        <v>441</v>
      </c>
      <c r="B334" s="27" t="s">
        <v>264</v>
      </c>
      <c r="C334" s="27" t="n">
        <v>33675346</v>
      </c>
      <c r="D334" s="28" t="n">
        <v>0.75</v>
      </c>
      <c r="E334" s="28" t="n">
        <v>0.916666666666667</v>
      </c>
      <c r="F334" s="27" t="s">
        <v>213</v>
      </c>
      <c r="G334" s="27" t="s">
        <v>202</v>
      </c>
      <c r="H334" s="27" t="s">
        <v>17</v>
      </c>
      <c r="I334" s="29" t="s">
        <v>141</v>
      </c>
    </row>
    <row r="335" customFormat="false" ht="15" hidden="false" customHeight="false" outlineLevel="0" collapsed="false">
      <c r="A335" s="27" t="s">
        <v>442</v>
      </c>
      <c r="B335" s="27" t="s">
        <v>223</v>
      </c>
      <c r="C335" s="27" t="n">
        <v>40689644</v>
      </c>
      <c r="D335" s="28" t="n">
        <v>0.75</v>
      </c>
      <c r="E335" s="28" t="n">
        <v>0.916666666666667</v>
      </c>
      <c r="F335" s="27" t="s">
        <v>127</v>
      </c>
      <c r="G335" s="27" t="s">
        <v>128</v>
      </c>
      <c r="H335" s="27" t="s">
        <v>17</v>
      </c>
      <c r="I335" s="29" t="s">
        <v>15</v>
      </c>
    </row>
    <row r="336" customFormat="false" ht="15" hidden="false" customHeight="false" outlineLevel="0" collapsed="false">
      <c r="A336" s="27" t="s">
        <v>442</v>
      </c>
      <c r="B336" s="27" t="s">
        <v>443</v>
      </c>
      <c r="C336" s="27" t="n">
        <v>30325211</v>
      </c>
      <c r="D336" s="28" t="n">
        <v>0.75</v>
      </c>
      <c r="E336" s="28" t="n">
        <v>0.916666666666667</v>
      </c>
      <c r="F336" s="27" t="s">
        <v>127</v>
      </c>
      <c r="G336" s="27" t="s">
        <v>128</v>
      </c>
      <c r="H336" s="27" t="s">
        <v>13</v>
      </c>
      <c r="I336" s="29" t="s">
        <v>240</v>
      </c>
    </row>
    <row r="337" customFormat="false" ht="15" hidden="false" customHeight="false" outlineLevel="0" collapsed="false">
      <c r="A337" s="27" t="s">
        <v>442</v>
      </c>
      <c r="B337" s="27" t="s">
        <v>444</v>
      </c>
      <c r="C337" s="27" t="n">
        <v>31107522</v>
      </c>
      <c r="D337" s="28" t="n">
        <v>0.75</v>
      </c>
      <c r="E337" s="28" t="n">
        <v>0.916666666666667</v>
      </c>
      <c r="F337" s="27" t="s">
        <v>127</v>
      </c>
      <c r="G337" s="27" t="s">
        <v>128</v>
      </c>
      <c r="H337" s="27" t="s">
        <v>16</v>
      </c>
      <c r="I337" s="29" t="s">
        <v>274</v>
      </c>
    </row>
    <row r="338" customFormat="false" ht="15" hidden="false" customHeight="false" outlineLevel="0" collapsed="false">
      <c r="A338" s="30" t="s">
        <v>445</v>
      </c>
      <c r="B338" s="30" t="s">
        <v>427</v>
      </c>
      <c r="C338" s="30" t="n">
        <v>39216024</v>
      </c>
      <c r="D338" s="31" t="n">
        <v>0.75</v>
      </c>
      <c r="E338" s="31" t="n">
        <v>0.916666666666667</v>
      </c>
      <c r="F338" s="30" t="s">
        <v>133</v>
      </c>
      <c r="G338" s="30" t="s">
        <v>128</v>
      </c>
      <c r="H338" s="30" t="s">
        <v>17</v>
      </c>
      <c r="I338" s="29" t="s">
        <v>15</v>
      </c>
    </row>
    <row r="339" customFormat="false" ht="15" hidden="false" customHeight="false" outlineLevel="0" collapsed="false">
      <c r="A339" s="27" t="s">
        <v>445</v>
      </c>
      <c r="B339" s="27" t="s">
        <v>434</v>
      </c>
      <c r="C339" s="27" t="n">
        <v>25014764</v>
      </c>
      <c r="D339" s="28" t="n">
        <v>0.75</v>
      </c>
      <c r="E339" s="28" t="n">
        <v>0.916666666666667</v>
      </c>
      <c r="F339" s="27" t="s">
        <v>133</v>
      </c>
      <c r="G339" s="27" t="s">
        <v>128</v>
      </c>
      <c r="H339" s="27" t="s">
        <v>16</v>
      </c>
      <c r="I339" s="29" t="s">
        <v>240</v>
      </c>
    </row>
    <row r="340" customFormat="false" ht="15" hidden="false" customHeight="false" outlineLevel="0" collapsed="false">
      <c r="A340" s="27" t="s">
        <v>445</v>
      </c>
      <c r="B340" s="27" t="s">
        <v>298</v>
      </c>
      <c r="C340" s="27" t="n">
        <v>34738191</v>
      </c>
      <c r="D340" s="28" t="n">
        <v>0.75</v>
      </c>
      <c r="E340" s="28" t="n">
        <v>0.916666666666667</v>
      </c>
      <c r="F340" s="27" t="s">
        <v>133</v>
      </c>
      <c r="G340" s="27" t="s">
        <v>128</v>
      </c>
      <c r="H340" s="27" t="s">
        <v>13</v>
      </c>
      <c r="I340" s="29" t="s">
        <v>274</v>
      </c>
    </row>
    <row r="341" customFormat="false" ht="15" hidden="false" customHeight="false" outlineLevel="0" collapsed="false">
      <c r="A341" s="27" t="s">
        <v>446</v>
      </c>
      <c r="B341" s="27" t="s">
        <v>447</v>
      </c>
      <c r="C341" s="27" t="n">
        <v>48722978</v>
      </c>
      <c r="D341" s="28" t="n">
        <v>0.75</v>
      </c>
      <c r="E341" s="28" t="n">
        <v>0.916666666666667</v>
      </c>
      <c r="F341" s="27" t="s">
        <v>138</v>
      </c>
      <c r="G341" s="27" t="s">
        <v>128</v>
      </c>
      <c r="H341" s="27" t="s">
        <v>17</v>
      </c>
      <c r="I341" s="29" t="s">
        <v>15</v>
      </c>
    </row>
    <row r="342" customFormat="false" ht="15" hidden="false" customHeight="false" outlineLevel="0" collapsed="false">
      <c r="A342" s="27" t="s">
        <v>446</v>
      </c>
      <c r="B342" s="27" t="s">
        <v>200</v>
      </c>
      <c r="C342" s="27" t="n">
        <v>38212039</v>
      </c>
      <c r="D342" s="28" t="n">
        <v>0.75</v>
      </c>
      <c r="E342" s="28" t="n">
        <v>0.916666666666667</v>
      </c>
      <c r="F342" s="27" t="s">
        <v>138</v>
      </c>
      <c r="G342" s="27" t="s">
        <v>128</v>
      </c>
      <c r="H342" s="27" t="s">
        <v>13</v>
      </c>
      <c r="I342" s="29" t="s">
        <v>240</v>
      </c>
    </row>
    <row r="343" customFormat="false" ht="15" hidden="false" customHeight="false" outlineLevel="0" collapsed="false">
      <c r="A343" s="27" t="s">
        <v>446</v>
      </c>
      <c r="B343" s="27" t="s">
        <v>448</v>
      </c>
      <c r="C343" s="27" t="n">
        <v>23196023</v>
      </c>
      <c r="D343" s="28" t="n">
        <v>0.75</v>
      </c>
      <c r="E343" s="28" t="n">
        <v>0.916666666666667</v>
      </c>
      <c r="F343" s="27" t="s">
        <v>138</v>
      </c>
      <c r="G343" s="27" t="s">
        <v>128</v>
      </c>
      <c r="H343" s="27" t="s">
        <v>16</v>
      </c>
      <c r="I343" s="29" t="s">
        <v>274</v>
      </c>
    </row>
    <row r="344" customFormat="false" ht="15" hidden="false" customHeight="false" outlineLevel="0" collapsed="false">
      <c r="A344" s="27" t="s">
        <v>449</v>
      </c>
      <c r="B344" s="27" t="s">
        <v>403</v>
      </c>
      <c r="C344" s="27" t="n">
        <v>28559865</v>
      </c>
      <c r="D344" s="28" t="n">
        <v>0.75</v>
      </c>
      <c r="E344" s="28" t="n">
        <v>0.916666666666667</v>
      </c>
      <c r="F344" s="27" t="s">
        <v>144</v>
      </c>
      <c r="G344" s="27" t="s">
        <v>128</v>
      </c>
      <c r="H344" s="27" t="s">
        <v>16</v>
      </c>
      <c r="I344" s="29" t="s">
        <v>15</v>
      </c>
    </row>
    <row r="345" customFormat="false" ht="15" hidden="false" customHeight="false" outlineLevel="0" collapsed="false">
      <c r="A345" s="27" t="s">
        <v>449</v>
      </c>
      <c r="B345" s="27" t="s">
        <v>450</v>
      </c>
      <c r="C345" s="27" t="n">
        <v>22340220</v>
      </c>
      <c r="D345" s="28" t="n">
        <v>0.75</v>
      </c>
      <c r="E345" s="28" t="n">
        <v>0.916666666666667</v>
      </c>
      <c r="F345" s="27" t="s">
        <v>144</v>
      </c>
      <c r="G345" s="27" t="s">
        <v>128</v>
      </c>
      <c r="H345" s="27" t="s">
        <v>17</v>
      </c>
      <c r="I345" s="29" t="s">
        <v>240</v>
      </c>
    </row>
    <row r="346" customFormat="false" ht="15" hidden="false" customHeight="false" outlineLevel="0" collapsed="false">
      <c r="A346" s="27" t="s">
        <v>449</v>
      </c>
      <c r="B346" s="27" t="s">
        <v>126</v>
      </c>
      <c r="C346" s="27" t="n">
        <v>41606145</v>
      </c>
      <c r="D346" s="28" t="n">
        <v>0.75</v>
      </c>
      <c r="E346" s="28" t="n">
        <v>0.916666666666667</v>
      </c>
      <c r="F346" s="27" t="s">
        <v>144</v>
      </c>
      <c r="G346" s="27" t="s">
        <v>128</v>
      </c>
      <c r="H346" s="27" t="s">
        <v>13</v>
      </c>
      <c r="I346" s="29" t="s">
        <v>274</v>
      </c>
    </row>
    <row r="347" customFormat="false" ht="15" hidden="false" customHeight="false" outlineLevel="0" collapsed="false">
      <c r="A347" s="27" t="s">
        <v>451</v>
      </c>
      <c r="B347" s="27" t="s">
        <v>176</v>
      </c>
      <c r="C347" s="27" t="n">
        <v>21054707</v>
      </c>
      <c r="D347" s="28" t="n">
        <v>0.75</v>
      </c>
      <c r="E347" s="28" t="n">
        <v>0.916666666666667</v>
      </c>
      <c r="F347" s="27" t="s">
        <v>149</v>
      </c>
      <c r="G347" s="27" t="s">
        <v>128</v>
      </c>
      <c r="H347" s="27" t="s">
        <v>16</v>
      </c>
      <c r="I347" s="29" t="s">
        <v>15</v>
      </c>
    </row>
    <row r="348" customFormat="false" ht="15" hidden="false" customHeight="false" outlineLevel="0" collapsed="false">
      <c r="A348" s="27" t="s">
        <v>451</v>
      </c>
      <c r="B348" s="27" t="s">
        <v>206</v>
      </c>
      <c r="C348" s="27" t="n">
        <v>41033964</v>
      </c>
      <c r="D348" s="28" t="n">
        <v>0.75</v>
      </c>
      <c r="E348" s="28" t="n">
        <v>0.916666666666667</v>
      </c>
      <c r="F348" s="27" t="s">
        <v>149</v>
      </c>
      <c r="G348" s="27" t="s">
        <v>128</v>
      </c>
      <c r="H348" s="27" t="s">
        <v>13</v>
      </c>
      <c r="I348" s="29" t="s">
        <v>240</v>
      </c>
    </row>
    <row r="349" customFormat="false" ht="15" hidden="false" customHeight="false" outlineLevel="0" collapsed="false">
      <c r="A349" s="27" t="s">
        <v>451</v>
      </c>
      <c r="B349" s="27" t="s">
        <v>396</v>
      </c>
      <c r="C349" s="27" t="n">
        <v>27130872</v>
      </c>
      <c r="D349" s="28" t="n">
        <v>0.75</v>
      </c>
      <c r="E349" s="28" t="n">
        <v>0.916666666666667</v>
      </c>
      <c r="F349" s="27" t="s">
        <v>149</v>
      </c>
      <c r="G349" s="27" t="s">
        <v>128</v>
      </c>
      <c r="H349" s="27" t="s">
        <v>17</v>
      </c>
      <c r="I349" s="29" t="s">
        <v>274</v>
      </c>
    </row>
    <row r="350" customFormat="false" ht="15" hidden="false" customHeight="false" outlineLevel="0" collapsed="false">
      <c r="A350" s="27" t="s">
        <v>452</v>
      </c>
      <c r="B350" s="27" t="s">
        <v>448</v>
      </c>
      <c r="C350" s="27" t="n">
        <v>23196023</v>
      </c>
      <c r="D350" s="28" t="n">
        <v>0.75</v>
      </c>
      <c r="E350" s="28" t="n">
        <v>0.916666666666667</v>
      </c>
      <c r="F350" s="27" t="s">
        <v>153</v>
      </c>
      <c r="G350" s="27" t="s">
        <v>128</v>
      </c>
      <c r="H350" s="27" t="s">
        <v>16</v>
      </c>
      <c r="I350" s="29" t="s">
        <v>15</v>
      </c>
    </row>
    <row r="351" customFormat="false" ht="15" hidden="false" customHeight="false" outlineLevel="0" collapsed="false">
      <c r="A351" s="27" t="s">
        <v>452</v>
      </c>
      <c r="B351" s="27" t="s">
        <v>423</v>
      </c>
      <c r="C351" s="27" t="n">
        <v>26266966</v>
      </c>
      <c r="D351" s="28" t="n">
        <v>0.75</v>
      </c>
      <c r="E351" s="28" t="n">
        <v>0.916666666666667</v>
      </c>
      <c r="F351" s="27" t="s">
        <v>153</v>
      </c>
      <c r="G351" s="27" t="s">
        <v>128</v>
      </c>
      <c r="H351" s="27" t="s">
        <v>13</v>
      </c>
      <c r="I351" s="29" t="s">
        <v>240</v>
      </c>
    </row>
    <row r="352" customFormat="false" ht="15" hidden="false" customHeight="false" outlineLevel="0" collapsed="false">
      <c r="A352" s="27" t="s">
        <v>452</v>
      </c>
      <c r="B352" s="27" t="s">
        <v>417</v>
      </c>
      <c r="C352" s="27" t="n">
        <v>39532469</v>
      </c>
      <c r="D352" s="28" t="n">
        <v>0.75</v>
      </c>
      <c r="E352" s="28" t="n">
        <v>0.916666666666667</v>
      </c>
      <c r="F352" s="27" t="s">
        <v>153</v>
      </c>
      <c r="G352" s="27" t="s">
        <v>128</v>
      </c>
      <c r="H352" s="27" t="s">
        <v>17</v>
      </c>
      <c r="I352" s="29" t="s">
        <v>274</v>
      </c>
    </row>
    <row r="353" customFormat="false" ht="15" hidden="false" customHeight="false" outlineLevel="0" collapsed="false">
      <c r="A353" s="27" t="s">
        <v>453</v>
      </c>
      <c r="B353" s="27" t="s">
        <v>365</v>
      </c>
      <c r="C353" s="27" t="n">
        <v>32649247</v>
      </c>
      <c r="D353" s="28" t="n">
        <v>0.75</v>
      </c>
      <c r="E353" s="28" t="n">
        <v>0.916666666666667</v>
      </c>
      <c r="F353" s="27" t="s">
        <v>157</v>
      </c>
      <c r="G353" s="27" t="s">
        <v>128</v>
      </c>
      <c r="H353" s="27" t="s">
        <v>16</v>
      </c>
      <c r="I353" s="29" t="s">
        <v>15</v>
      </c>
    </row>
    <row r="354" customFormat="false" ht="15" hidden="false" customHeight="false" outlineLevel="0" collapsed="false">
      <c r="A354" s="27" t="s">
        <v>453</v>
      </c>
      <c r="B354" s="27" t="s">
        <v>408</v>
      </c>
      <c r="C354" s="27" t="n">
        <v>26162100</v>
      </c>
      <c r="D354" s="28" t="n">
        <v>0.75</v>
      </c>
      <c r="E354" s="28" t="n">
        <v>0.916666666666667</v>
      </c>
      <c r="F354" s="27" t="s">
        <v>157</v>
      </c>
      <c r="G354" s="27" t="s">
        <v>128</v>
      </c>
      <c r="H354" s="27" t="s">
        <v>13</v>
      </c>
      <c r="I354" s="29" t="s">
        <v>240</v>
      </c>
    </row>
    <row r="355" customFormat="false" ht="15" hidden="false" customHeight="false" outlineLevel="0" collapsed="false">
      <c r="A355" s="27" t="s">
        <v>453</v>
      </c>
      <c r="B355" s="27" t="s">
        <v>322</v>
      </c>
      <c r="C355" s="27" t="n">
        <v>42824331</v>
      </c>
      <c r="D355" s="28" t="n">
        <v>0.75</v>
      </c>
      <c r="E355" s="28" t="n">
        <v>0.916666666666667</v>
      </c>
      <c r="F355" s="27" t="s">
        <v>157</v>
      </c>
      <c r="G355" s="27" t="s">
        <v>128</v>
      </c>
      <c r="H355" s="27" t="s">
        <v>17</v>
      </c>
      <c r="I355" s="29" t="s">
        <v>274</v>
      </c>
    </row>
    <row r="356" customFormat="false" ht="15" hidden="false" customHeight="false" outlineLevel="0" collapsed="false">
      <c r="A356" s="27" t="s">
        <v>454</v>
      </c>
      <c r="B356" s="27" t="s">
        <v>455</v>
      </c>
      <c r="C356" s="27" t="n">
        <v>20511146</v>
      </c>
      <c r="D356" s="28" t="n">
        <v>0.75</v>
      </c>
      <c r="E356" s="28" t="n">
        <v>0.916666666666667</v>
      </c>
      <c r="F356" s="27" t="s">
        <v>161</v>
      </c>
      <c r="G356" s="27" t="s">
        <v>128</v>
      </c>
      <c r="H356" s="27" t="s">
        <v>16</v>
      </c>
      <c r="I356" s="29" t="s">
        <v>15</v>
      </c>
    </row>
    <row r="357" customFormat="false" ht="15" hidden="false" customHeight="false" outlineLevel="0" collapsed="false">
      <c r="A357" s="27" t="s">
        <v>454</v>
      </c>
      <c r="B357" s="27" t="s">
        <v>456</v>
      </c>
      <c r="C357" s="27" t="n">
        <v>44737292</v>
      </c>
      <c r="D357" s="28" t="n">
        <v>0.75</v>
      </c>
      <c r="E357" s="28" t="n">
        <v>0.916666666666667</v>
      </c>
      <c r="F357" s="27" t="s">
        <v>161</v>
      </c>
      <c r="G357" s="27" t="s">
        <v>128</v>
      </c>
      <c r="H357" s="27" t="s">
        <v>13</v>
      </c>
      <c r="I357" s="29" t="s">
        <v>240</v>
      </c>
    </row>
    <row r="358" customFormat="false" ht="15" hidden="false" customHeight="false" outlineLevel="0" collapsed="false">
      <c r="A358" s="27" t="s">
        <v>454</v>
      </c>
      <c r="B358" s="27" t="s">
        <v>223</v>
      </c>
      <c r="C358" s="27" t="n">
        <v>40689644</v>
      </c>
      <c r="D358" s="28" t="n">
        <v>0.75</v>
      </c>
      <c r="E358" s="28" t="n">
        <v>0.916666666666667</v>
      </c>
      <c r="F358" s="27" t="s">
        <v>161</v>
      </c>
      <c r="G358" s="27" t="s">
        <v>128</v>
      </c>
      <c r="H358" s="27" t="s">
        <v>17</v>
      </c>
      <c r="I358" s="29" t="s">
        <v>274</v>
      </c>
    </row>
    <row r="359" customFormat="false" ht="15" hidden="false" customHeight="false" outlineLevel="0" collapsed="false">
      <c r="A359" s="27" t="s">
        <v>457</v>
      </c>
      <c r="B359" s="27" t="s">
        <v>419</v>
      </c>
      <c r="C359" s="27" t="n">
        <v>22051796</v>
      </c>
      <c r="D359" s="28" t="n">
        <v>0.75</v>
      </c>
      <c r="E359" s="28" t="n">
        <v>0.916666666666667</v>
      </c>
      <c r="F359" s="27" t="s">
        <v>166</v>
      </c>
      <c r="G359" s="27" t="s">
        <v>128</v>
      </c>
      <c r="H359" s="27" t="s">
        <v>13</v>
      </c>
      <c r="I359" s="29" t="s">
        <v>15</v>
      </c>
    </row>
    <row r="360" customFormat="false" ht="15" hidden="false" customHeight="false" outlineLevel="0" collapsed="false">
      <c r="A360" s="27" t="s">
        <v>457</v>
      </c>
      <c r="B360" s="27" t="s">
        <v>365</v>
      </c>
      <c r="C360" s="27" t="n">
        <v>32649247</v>
      </c>
      <c r="D360" s="28" t="n">
        <v>0.75</v>
      </c>
      <c r="E360" s="28" t="n">
        <v>0.916666666666667</v>
      </c>
      <c r="F360" s="27" t="s">
        <v>166</v>
      </c>
      <c r="G360" s="27" t="s">
        <v>128</v>
      </c>
      <c r="H360" s="27" t="s">
        <v>16</v>
      </c>
      <c r="I360" s="29" t="s">
        <v>240</v>
      </c>
    </row>
    <row r="361" customFormat="false" ht="15" hidden="false" customHeight="false" outlineLevel="0" collapsed="false">
      <c r="A361" s="27" t="s">
        <v>457</v>
      </c>
      <c r="B361" s="27" t="s">
        <v>249</v>
      </c>
      <c r="C361" s="27" t="n">
        <v>31424197</v>
      </c>
      <c r="D361" s="28" t="n">
        <v>0.75</v>
      </c>
      <c r="E361" s="28" t="n">
        <v>0.916666666666667</v>
      </c>
      <c r="F361" s="27" t="s">
        <v>166</v>
      </c>
      <c r="G361" s="27" t="s">
        <v>128</v>
      </c>
      <c r="H361" s="27" t="s">
        <v>17</v>
      </c>
      <c r="I361" s="29" t="s">
        <v>274</v>
      </c>
    </row>
    <row r="362" customFormat="false" ht="15" hidden="false" customHeight="false" outlineLevel="0" collapsed="false">
      <c r="A362" s="27" t="s">
        <v>458</v>
      </c>
      <c r="B362" s="27" t="s">
        <v>145</v>
      </c>
      <c r="C362" s="27" t="n">
        <v>33175832</v>
      </c>
      <c r="D362" s="28" t="n">
        <v>0.75</v>
      </c>
      <c r="E362" s="28" t="n">
        <v>0.916666666666667</v>
      </c>
      <c r="F362" s="27" t="s">
        <v>171</v>
      </c>
      <c r="G362" s="27" t="s">
        <v>128</v>
      </c>
      <c r="H362" s="27" t="s">
        <v>13</v>
      </c>
      <c r="I362" s="29" t="s">
        <v>15</v>
      </c>
    </row>
    <row r="363" customFormat="false" ht="15" hidden="false" customHeight="false" outlineLevel="0" collapsed="false">
      <c r="A363" s="27" t="s">
        <v>458</v>
      </c>
      <c r="B363" s="27" t="s">
        <v>347</v>
      </c>
      <c r="C363" s="27" t="n">
        <v>39496908</v>
      </c>
      <c r="D363" s="28" t="n">
        <v>0.75</v>
      </c>
      <c r="E363" s="28" t="n">
        <v>0.916666666666667</v>
      </c>
      <c r="F363" s="27" t="s">
        <v>171</v>
      </c>
      <c r="G363" s="27" t="s">
        <v>128</v>
      </c>
      <c r="H363" s="27" t="s">
        <v>16</v>
      </c>
      <c r="I363" s="29" t="s">
        <v>240</v>
      </c>
    </row>
    <row r="364" customFormat="false" ht="15" hidden="false" customHeight="false" outlineLevel="0" collapsed="false">
      <c r="A364" s="27" t="s">
        <v>458</v>
      </c>
      <c r="B364" s="27" t="s">
        <v>373</v>
      </c>
      <c r="C364" s="27" t="n">
        <v>25273935</v>
      </c>
      <c r="D364" s="28" t="n">
        <v>0.75</v>
      </c>
      <c r="E364" s="28" t="n">
        <v>0.916666666666667</v>
      </c>
      <c r="F364" s="27" t="s">
        <v>171</v>
      </c>
      <c r="G364" s="27" t="s">
        <v>128</v>
      </c>
      <c r="H364" s="27" t="s">
        <v>17</v>
      </c>
      <c r="I364" s="29" t="s">
        <v>274</v>
      </c>
    </row>
    <row r="365" customFormat="false" ht="15" hidden="false" customHeight="false" outlineLevel="0" collapsed="false">
      <c r="A365" s="27" t="s">
        <v>459</v>
      </c>
      <c r="B365" s="27" t="s">
        <v>460</v>
      </c>
      <c r="C365" s="27" t="n">
        <v>46422602</v>
      </c>
      <c r="D365" s="28" t="n">
        <v>0.75</v>
      </c>
      <c r="E365" s="28" t="n">
        <v>0.916666666666667</v>
      </c>
      <c r="F365" s="27" t="s">
        <v>175</v>
      </c>
      <c r="G365" s="27" t="s">
        <v>128</v>
      </c>
      <c r="H365" s="27" t="s">
        <v>17</v>
      </c>
      <c r="I365" s="29" t="s">
        <v>15</v>
      </c>
    </row>
    <row r="366" customFormat="false" ht="15" hidden="false" customHeight="false" outlineLevel="0" collapsed="false">
      <c r="A366" s="27" t="s">
        <v>459</v>
      </c>
      <c r="B366" s="27" t="s">
        <v>444</v>
      </c>
      <c r="C366" s="27" t="n">
        <v>31107522</v>
      </c>
      <c r="D366" s="28" t="n">
        <v>0.75</v>
      </c>
      <c r="E366" s="28" t="n">
        <v>0.916666666666667</v>
      </c>
      <c r="F366" s="27" t="s">
        <v>175</v>
      </c>
      <c r="G366" s="27" t="s">
        <v>128</v>
      </c>
      <c r="H366" s="27" t="s">
        <v>16</v>
      </c>
      <c r="I366" s="29" t="s">
        <v>240</v>
      </c>
    </row>
    <row r="367" customFormat="false" ht="15" hidden="false" customHeight="false" outlineLevel="0" collapsed="false">
      <c r="A367" s="27" t="s">
        <v>459</v>
      </c>
      <c r="B367" s="27" t="s">
        <v>408</v>
      </c>
      <c r="C367" s="27" t="n">
        <v>26162100</v>
      </c>
      <c r="D367" s="28" t="n">
        <v>0.75</v>
      </c>
      <c r="E367" s="28" t="n">
        <v>0.916666666666667</v>
      </c>
      <c r="F367" s="27" t="s">
        <v>175</v>
      </c>
      <c r="G367" s="27" t="s">
        <v>128</v>
      </c>
      <c r="H367" s="27" t="s">
        <v>13</v>
      </c>
      <c r="I367" s="29" t="s">
        <v>141</v>
      </c>
    </row>
    <row r="368" customFormat="false" ht="15" hidden="false" customHeight="false" outlineLevel="0" collapsed="false">
      <c r="A368" s="27" t="s">
        <v>461</v>
      </c>
      <c r="B368" s="27" t="s">
        <v>462</v>
      </c>
      <c r="C368" s="27" t="n">
        <v>21072006</v>
      </c>
      <c r="D368" s="28" t="n">
        <v>0.75</v>
      </c>
      <c r="E368" s="28" t="n">
        <v>0.916666666666667</v>
      </c>
      <c r="F368" s="27" t="s">
        <v>179</v>
      </c>
      <c r="G368" s="27" t="s">
        <v>128</v>
      </c>
      <c r="H368" s="27" t="s">
        <v>16</v>
      </c>
      <c r="I368" s="29" t="s">
        <v>15</v>
      </c>
    </row>
    <row r="369" customFormat="false" ht="15" hidden="false" customHeight="false" outlineLevel="0" collapsed="false">
      <c r="A369" s="27" t="s">
        <v>461</v>
      </c>
      <c r="B369" s="27" t="s">
        <v>371</v>
      </c>
      <c r="C369" s="27" t="n">
        <v>48404206</v>
      </c>
      <c r="D369" s="28" t="n">
        <v>0.75</v>
      </c>
      <c r="E369" s="28" t="n">
        <v>0.916666666666667</v>
      </c>
      <c r="F369" s="27" t="s">
        <v>179</v>
      </c>
      <c r="G369" s="27" t="s">
        <v>128</v>
      </c>
      <c r="H369" s="27" t="s">
        <v>17</v>
      </c>
      <c r="I369" s="29" t="s">
        <v>240</v>
      </c>
    </row>
    <row r="370" customFormat="false" ht="15" hidden="false" customHeight="false" outlineLevel="0" collapsed="false">
      <c r="A370" s="27" t="s">
        <v>461</v>
      </c>
      <c r="B370" s="27" t="s">
        <v>419</v>
      </c>
      <c r="C370" s="27" t="n">
        <v>22051796</v>
      </c>
      <c r="D370" s="28" t="n">
        <v>0.75</v>
      </c>
      <c r="E370" s="28" t="n">
        <v>0.916666666666667</v>
      </c>
      <c r="F370" s="27" t="s">
        <v>179</v>
      </c>
      <c r="G370" s="27" t="s">
        <v>128</v>
      </c>
      <c r="H370" s="27" t="s">
        <v>13</v>
      </c>
      <c r="I370" s="29" t="s">
        <v>141</v>
      </c>
    </row>
    <row r="371" customFormat="false" ht="15" hidden="false" customHeight="false" outlineLevel="0" collapsed="false">
      <c r="A371" s="27" t="s">
        <v>463</v>
      </c>
      <c r="B371" s="27" t="s">
        <v>456</v>
      </c>
      <c r="C371" s="27" t="n">
        <v>44737292</v>
      </c>
      <c r="D371" s="28" t="n">
        <v>0.75</v>
      </c>
      <c r="E371" s="28" t="n">
        <v>0.916666666666667</v>
      </c>
      <c r="F371" s="27" t="s">
        <v>183</v>
      </c>
      <c r="G371" s="27" t="s">
        <v>128</v>
      </c>
      <c r="H371" s="27" t="s">
        <v>13</v>
      </c>
      <c r="I371" s="29" t="s">
        <v>15</v>
      </c>
    </row>
    <row r="372" customFormat="false" ht="15" hidden="false" customHeight="false" outlineLevel="0" collapsed="false">
      <c r="A372" s="32" t="s">
        <v>463</v>
      </c>
      <c r="B372" s="32" t="s">
        <v>462</v>
      </c>
      <c r="C372" s="32" t="n">
        <v>21072006</v>
      </c>
      <c r="D372" s="28" t="n">
        <v>0.75</v>
      </c>
      <c r="E372" s="28" t="n">
        <v>0.916666666666667</v>
      </c>
      <c r="F372" s="27" t="s">
        <v>183</v>
      </c>
      <c r="G372" s="27" t="s">
        <v>128</v>
      </c>
      <c r="H372" s="27" t="s">
        <v>16</v>
      </c>
      <c r="I372" s="29" t="s">
        <v>240</v>
      </c>
    </row>
    <row r="373" customFormat="false" ht="15" hidden="false" customHeight="false" outlineLevel="0" collapsed="false">
      <c r="A373" s="27" t="s">
        <v>463</v>
      </c>
      <c r="B373" s="27" t="s">
        <v>464</v>
      </c>
      <c r="C373" s="27" t="n">
        <v>39170240</v>
      </c>
      <c r="D373" s="28" t="n">
        <v>0.75</v>
      </c>
      <c r="E373" s="28" t="n">
        <v>0.916666666666667</v>
      </c>
      <c r="F373" s="27" t="s">
        <v>183</v>
      </c>
      <c r="G373" s="27" t="s">
        <v>128</v>
      </c>
      <c r="H373" s="27" t="s">
        <v>17</v>
      </c>
      <c r="I373" s="29" t="s">
        <v>141</v>
      </c>
    </row>
    <row r="374" customFormat="false" ht="15" hidden="false" customHeight="false" outlineLevel="0" collapsed="false">
      <c r="A374" s="27" t="s">
        <v>465</v>
      </c>
      <c r="B374" s="27" t="s">
        <v>347</v>
      </c>
      <c r="C374" s="27" t="n">
        <v>39496908</v>
      </c>
      <c r="D374" s="28" t="n">
        <v>0.75</v>
      </c>
      <c r="E374" s="28" t="n">
        <v>0.916666666666667</v>
      </c>
      <c r="F374" s="27" t="s">
        <v>186</v>
      </c>
      <c r="G374" s="27" t="s">
        <v>128</v>
      </c>
      <c r="H374" s="27" t="s">
        <v>16</v>
      </c>
      <c r="I374" s="29" t="s">
        <v>15</v>
      </c>
    </row>
    <row r="375" customFormat="false" ht="15" hidden="false" customHeight="false" outlineLevel="0" collapsed="false">
      <c r="A375" s="27" t="s">
        <v>465</v>
      </c>
      <c r="B375" s="27" t="s">
        <v>412</v>
      </c>
      <c r="C375" s="27" t="n">
        <v>35414184</v>
      </c>
      <c r="D375" s="28" t="n">
        <v>0.75</v>
      </c>
      <c r="E375" s="28" t="n">
        <v>0.916666666666667</v>
      </c>
      <c r="F375" s="27" t="s">
        <v>186</v>
      </c>
      <c r="G375" s="27" t="s">
        <v>128</v>
      </c>
      <c r="H375" s="27" t="s">
        <v>17</v>
      </c>
      <c r="I375" s="29" t="s">
        <v>240</v>
      </c>
    </row>
    <row r="376" customFormat="false" ht="15" hidden="false" customHeight="false" outlineLevel="0" collapsed="false">
      <c r="A376" s="27" t="s">
        <v>465</v>
      </c>
      <c r="B376" s="27" t="s">
        <v>466</v>
      </c>
      <c r="C376" s="27" t="n">
        <v>21336601</v>
      </c>
      <c r="D376" s="28" t="n">
        <v>0.75</v>
      </c>
      <c r="E376" s="28" t="n">
        <v>0.916666666666667</v>
      </c>
      <c r="F376" s="27" t="s">
        <v>186</v>
      </c>
      <c r="G376" s="27" t="s">
        <v>128</v>
      </c>
      <c r="H376" s="27" t="s">
        <v>13</v>
      </c>
      <c r="I376" s="29" t="s">
        <v>141</v>
      </c>
    </row>
    <row r="377" customFormat="false" ht="15" hidden="false" customHeight="false" outlineLevel="0" collapsed="false">
      <c r="A377" s="27" t="s">
        <v>467</v>
      </c>
      <c r="B377" s="27" t="s">
        <v>400</v>
      </c>
      <c r="C377" s="27" t="n">
        <v>32733334</v>
      </c>
      <c r="D377" s="28" t="n">
        <v>0.75</v>
      </c>
      <c r="E377" s="28" t="n">
        <v>0.916666666666667</v>
      </c>
      <c r="F377" s="27" t="s">
        <v>191</v>
      </c>
      <c r="G377" s="27" t="s">
        <v>128</v>
      </c>
      <c r="H377" s="27" t="s">
        <v>16</v>
      </c>
      <c r="I377" s="29" t="s">
        <v>15</v>
      </c>
    </row>
    <row r="378" customFormat="false" ht="15" hidden="false" customHeight="false" outlineLevel="0" collapsed="false">
      <c r="A378" s="27" t="s">
        <v>467</v>
      </c>
      <c r="B378" s="27" t="s">
        <v>437</v>
      </c>
      <c r="C378" s="27" t="n">
        <v>27342888</v>
      </c>
      <c r="D378" s="28" t="n">
        <v>0.75</v>
      </c>
      <c r="E378" s="28" t="n">
        <v>0.916666666666667</v>
      </c>
      <c r="F378" s="27" t="s">
        <v>191</v>
      </c>
      <c r="G378" s="27" t="s">
        <v>128</v>
      </c>
      <c r="H378" s="27" t="s">
        <v>13</v>
      </c>
      <c r="I378" s="29" t="s">
        <v>240</v>
      </c>
    </row>
    <row r="379" customFormat="false" ht="15" hidden="false" customHeight="false" outlineLevel="0" collapsed="false">
      <c r="A379" s="27" t="s">
        <v>467</v>
      </c>
      <c r="B379" s="27" t="s">
        <v>447</v>
      </c>
      <c r="C379" s="27" t="n">
        <v>48722978</v>
      </c>
      <c r="D379" s="28" t="n">
        <v>0.75</v>
      </c>
      <c r="E379" s="28" t="n">
        <v>0.916666666666667</v>
      </c>
      <c r="F379" s="27" t="s">
        <v>191</v>
      </c>
      <c r="G379" s="27" t="s">
        <v>128</v>
      </c>
      <c r="H379" s="27" t="s">
        <v>17</v>
      </c>
      <c r="I379" s="29" t="s">
        <v>141</v>
      </c>
    </row>
    <row r="380" customFormat="false" ht="15" hidden="false" customHeight="false" outlineLevel="0" collapsed="false">
      <c r="A380" s="27" t="s">
        <v>468</v>
      </c>
      <c r="B380" s="27" t="s">
        <v>469</v>
      </c>
      <c r="C380" s="27" t="n">
        <v>41580567</v>
      </c>
      <c r="D380" s="28" t="n">
        <v>0.75</v>
      </c>
      <c r="E380" s="28" t="n">
        <v>0.916666666666667</v>
      </c>
      <c r="F380" s="27" t="s">
        <v>302</v>
      </c>
      <c r="G380" s="27" t="s">
        <v>128</v>
      </c>
      <c r="H380" s="27" t="s">
        <v>17</v>
      </c>
      <c r="I380" s="29" t="s">
        <v>15</v>
      </c>
    </row>
    <row r="381" customFormat="false" ht="15" hidden="false" customHeight="false" outlineLevel="0" collapsed="false">
      <c r="A381" s="27" t="s">
        <v>468</v>
      </c>
      <c r="B381" s="27" t="s">
        <v>234</v>
      </c>
      <c r="C381" s="27" t="n">
        <v>45500200</v>
      </c>
      <c r="D381" s="28" t="n">
        <v>0.75</v>
      </c>
      <c r="E381" s="28" t="n">
        <v>0.916666666666667</v>
      </c>
      <c r="F381" s="27" t="s">
        <v>302</v>
      </c>
      <c r="G381" s="27" t="s">
        <v>128</v>
      </c>
      <c r="H381" s="27" t="s">
        <v>13</v>
      </c>
      <c r="I381" s="29" t="s">
        <v>240</v>
      </c>
    </row>
    <row r="382" customFormat="false" ht="15" hidden="false" customHeight="false" outlineLevel="0" collapsed="false">
      <c r="A382" s="27" t="s">
        <v>468</v>
      </c>
      <c r="B382" s="27" t="s">
        <v>347</v>
      </c>
      <c r="C382" s="27" t="n">
        <v>39496908</v>
      </c>
      <c r="D382" s="28" t="n">
        <v>0.75</v>
      </c>
      <c r="E382" s="28" t="n">
        <v>0.916666666666667</v>
      </c>
      <c r="F382" s="27" t="s">
        <v>302</v>
      </c>
      <c r="G382" s="27" t="s">
        <v>128</v>
      </c>
      <c r="H382" s="27" t="s">
        <v>16</v>
      </c>
      <c r="I382" s="29" t="s">
        <v>141</v>
      </c>
    </row>
    <row r="383" customFormat="false" ht="15" hidden="false" customHeight="false" outlineLevel="0" collapsed="false">
      <c r="A383" s="27" t="s">
        <v>470</v>
      </c>
      <c r="B383" s="27" t="s">
        <v>437</v>
      </c>
      <c r="C383" s="27" t="n">
        <v>27342888</v>
      </c>
      <c r="D383" s="28" t="n">
        <v>0.75</v>
      </c>
      <c r="E383" s="28" t="n">
        <v>0.916666666666667</v>
      </c>
      <c r="F383" s="27" t="s">
        <v>218</v>
      </c>
      <c r="G383" s="27" t="s">
        <v>219</v>
      </c>
      <c r="H383" s="27" t="s">
        <v>13</v>
      </c>
      <c r="I383" s="29" t="s">
        <v>15</v>
      </c>
    </row>
    <row r="384" customFormat="false" ht="15" hidden="false" customHeight="false" outlineLevel="0" collapsed="false">
      <c r="A384" s="27" t="s">
        <v>470</v>
      </c>
      <c r="B384" s="27" t="s">
        <v>464</v>
      </c>
      <c r="C384" s="27" t="n">
        <v>39170240</v>
      </c>
      <c r="D384" s="28" t="n">
        <v>0.75</v>
      </c>
      <c r="E384" s="28" t="n">
        <v>0.916666666666667</v>
      </c>
      <c r="F384" s="27" t="s">
        <v>218</v>
      </c>
      <c r="G384" s="27" t="s">
        <v>219</v>
      </c>
      <c r="H384" s="27" t="s">
        <v>17</v>
      </c>
      <c r="I384" s="29" t="s">
        <v>240</v>
      </c>
    </row>
    <row r="385" customFormat="false" ht="15" hidden="false" customHeight="false" outlineLevel="0" collapsed="false">
      <c r="A385" s="27" t="s">
        <v>470</v>
      </c>
      <c r="B385" s="27" t="s">
        <v>176</v>
      </c>
      <c r="C385" s="27" t="n">
        <v>21054707</v>
      </c>
      <c r="D385" s="28" t="n">
        <v>0.75</v>
      </c>
      <c r="E385" s="28" t="n">
        <v>0.916666666666667</v>
      </c>
      <c r="F385" s="27" t="s">
        <v>218</v>
      </c>
      <c r="G385" s="27" t="s">
        <v>219</v>
      </c>
      <c r="H385" s="27" t="s">
        <v>16</v>
      </c>
      <c r="I385" s="29" t="s">
        <v>141</v>
      </c>
    </row>
    <row r="386" customFormat="false" ht="15" hidden="false" customHeight="false" outlineLevel="0" collapsed="false">
      <c r="A386" s="27" t="s">
        <v>471</v>
      </c>
      <c r="B386" s="27" t="s">
        <v>228</v>
      </c>
      <c r="C386" s="27" t="n">
        <v>38302042</v>
      </c>
      <c r="D386" s="28" t="n">
        <v>0.75</v>
      </c>
      <c r="E386" s="28" t="n">
        <v>0.916666666666667</v>
      </c>
      <c r="F386" s="27" t="s">
        <v>226</v>
      </c>
      <c r="G386" s="27" t="s">
        <v>222</v>
      </c>
      <c r="H386" s="27" t="s">
        <v>13</v>
      </c>
      <c r="I386" s="29" t="s">
        <v>15</v>
      </c>
    </row>
    <row r="387" customFormat="false" ht="15" hidden="false" customHeight="false" outlineLevel="0" collapsed="false">
      <c r="A387" s="27" t="s">
        <v>471</v>
      </c>
      <c r="B387" s="27" t="s">
        <v>472</v>
      </c>
      <c r="C387" s="27" t="n">
        <v>49942197</v>
      </c>
      <c r="D387" s="28" t="n">
        <v>0.75</v>
      </c>
      <c r="E387" s="28" t="n">
        <v>0.916666666666667</v>
      </c>
      <c r="F387" s="27" t="s">
        <v>226</v>
      </c>
      <c r="G387" s="27" t="s">
        <v>222</v>
      </c>
      <c r="H387" s="27" t="s">
        <v>17</v>
      </c>
      <c r="I387" s="29" t="s">
        <v>240</v>
      </c>
    </row>
    <row r="388" customFormat="false" ht="15" hidden="false" customHeight="false" outlineLevel="0" collapsed="false">
      <c r="A388" s="27" t="s">
        <v>471</v>
      </c>
      <c r="B388" s="27" t="s">
        <v>214</v>
      </c>
      <c r="C388" s="27" t="n">
        <v>41942626</v>
      </c>
      <c r="D388" s="28" t="n">
        <v>0.75</v>
      </c>
      <c r="E388" s="28" t="n">
        <v>0.916666666666667</v>
      </c>
      <c r="F388" s="27" t="s">
        <v>226</v>
      </c>
      <c r="G388" s="27" t="s">
        <v>222</v>
      </c>
      <c r="H388" s="27" t="s">
        <v>16</v>
      </c>
      <c r="I388" s="29" t="s">
        <v>141</v>
      </c>
    </row>
    <row r="389" customFormat="false" ht="15" hidden="false" customHeight="false" outlineLevel="0" collapsed="false">
      <c r="A389" s="27" t="s">
        <v>473</v>
      </c>
      <c r="B389" s="27" t="s">
        <v>430</v>
      </c>
      <c r="C389" s="27" t="n">
        <v>46142203</v>
      </c>
      <c r="D389" s="28" t="n">
        <v>0.75</v>
      </c>
      <c r="E389" s="28" t="n">
        <v>0.916666666666667</v>
      </c>
      <c r="F389" s="27" t="s">
        <v>335</v>
      </c>
      <c r="G389" s="27" t="s">
        <v>222</v>
      </c>
      <c r="H389" s="27" t="s">
        <v>17</v>
      </c>
      <c r="I389" s="29" t="s">
        <v>15</v>
      </c>
    </row>
    <row r="390" customFormat="false" ht="15" hidden="false" customHeight="false" outlineLevel="0" collapsed="false">
      <c r="A390" s="27" t="s">
        <v>473</v>
      </c>
      <c r="B390" s="27" t="s">
        <v>474</v>
      </c>
      <c r="C390" s="27" t="n">
        <v>34151744</v>
      </c>
      <c r="D390" s="28" t="n">
        <v>0.75</v>
      </c>
      <c r="E390" s="28" t="n">
        <v>0.916666666666667</v>
      </c>
      <c r="F390" s="27" t="s">
        <v>335</v>
      </c>
      <c r="G390" s="27" t="s">
        <v>222</v>
      </c>
      <c r="H390" s="27" t="s">
        <v>13</v>
      </c>
      <c r="I390" s="29" t="s">
        <v>240</v>
      </c>
    </row>
    <row r="391" customFormat="false" ht="15" hidden="false" customHeight="false" outlineLevel="0" collapsed="false">
      <c r="A391" s="27" t="s">
        <v>473</v>
      </c>
      <c r="B391" s="27" t="s">
        <v>365</v>
      </c>
      <c r="C391" s="27" t="n">
        <v>32649247</v>
      </c>
      <c r="D391" s="28" t="n">
        <v>0.75</v>
      </c>
      <c r="E391" s="28" t="n">
        <v>0.916666666666667</v>
      </c>
      <c r="F391" s="27" t="s">
        <v>335</v>
      </c>
      <c r="G391" s="27" t="s">
        <v>222</v>
      </c>
      <c r="H391" s="27" t="s">
        <v>16</v>
      </c>
      <c r="I391" s="29" t="s">
        <v>141</v>
      </c>
    </row>
    <row r="392" customFormat="false" ht="15" hidden="false" customHeight="false" outlineLevel="0" collapsed="false">
      <c r="A392" s="27" t="s">
        <v>475</v>
      </c>
      <c r="B392" s="27" t="s">
        <v>408</v>
      </c>
      <c r="C392" s="27" t="n">
        <v>26162100</v>
      </c>
      <c r="D392" s="28" t="n">
        <v>0.75</v>
      </c>
      <c r="E392" s="28" t="n">
        <v>0.916666666666667</v>
      </c>
      <c r="F392" s="27" t="s">
        <v>235</v>
      </c>
      <c r="G392" s="27" t="s">
        <v>222</v>
      </c>
      <c r="H392" s="27" t="s">
        <v>13</v>
      </c>
      <c r="I392" s="29" t="s">
        <v>15</v>
      </c>
    </row>
    <row r="393" customFormat="false" ht="15" hidden="false" customHeight="false" outlineLevel="0" collapsed="false">
      <c r="A393" s="27" t="s">
        <v>475</v>
      </c>
      <c r="B393" s="27" t="s">
        <v>400</v>
      </c>
      <c r="C393" s="27" t="n">
        <v>32733334</v>
      </c>
      <c r="D393" s="28" t="n">
        <v>0.75</v>
      </c>
      <c r="E393" s="28" t="n">
        <v>0.916666666666667</v>
      </c>
      <c r="F393" s="27" t="s">
        <v>235</v>
      </c>
      <c r="G393" s="27" t="s">
        <v>222</v>
      </c>
      <c r="H393" s="27" t="s">
        <v>16</v>
      </c>
      <c r="I393" s="29" t="s">
        <v>240</v>
      </c>
    </row>
    <row r="394" customFormat="false" ht="15" hidden="false" customHeight="false" outlineLevel="0" collapsed="false">
      <c r="A394" s="27" t="s">
        <v>475</v>
      </c>
      <c r="B394" s="27" t="s">
        <v>472</v>
      </c>
      <c r="C394" s="27" t="n">
        <v>49942197</v>
      </c>
      <c r="D394" s="28" t="n">
        <v>0.75</v>
      </c>
      <c r="E394" s="28" t="n">
        <v>0.916666666666667</v>
      </c>
      <c r="F394" s="27" t="s">
        <v>235</v>
      </c>
      <c r="G394" s="27" t="s">
        <v>222</v>
      </c>
      <c r="H394" s="27" t="s">
        <v>17</v>
      </c>
      <c r="I394" s="29" t="s">
        <v>141</v>
      </c>
    </row>
    <row r="395" customFormat="false" ht="15" hidden="false" customHeight="false" outlineLevel="0" collapsed="false">
      <c r="A395" s="27" t="s">
        <v>476</v>
      </c>
      <c r="B395" s="27" t="s">
        <v>371</v>
      </c>
      <c r="C395" s="27" t="n">
        <v>48404206</v>
      </c>
      <c r="D395" s="28" t="n">
        <v>0.75</v>
      </c>
      <c r="E395" s="28" t="n">
        <v>0.916666666666667</v>
      </c>
      <c r="F395" s="27" t="s">
        <v>344</v>
      </c>
      <c r="G395" s="27" t="s">
        <v>222</v>
      </c>
      <c r="H395" s="27" t="s">
        <v>17</v>
      </c>
      <c r="I395" s="29" t="s">
        <v>15</v>
      </c>
    </row>
    <row r="396" customFormat="false" ht="15" hidden="false" customHeight="false" outlineLevel="0" collapsed="false">
      <c r="A396" s="27" t="s">
        <v>476</v>
      </c>
      <c r="B396" s="27" t="s">
        <v>156</v>
      </c>
      <c r="C396" s="27" t="n">
        <v>45932923</v>
      </c>
      <c r="D396" s="28" t="n">
        <v>0.75</v>
      </c>
      <c r="E396" s="28" t="n">
        <v>0.916666666666667</v>
      </c>
      <c r="F396" s="27" t="s">
        <v>344</v>
      </c>
      <c r="G396" s="27" t="s">
        <v>222</v>
      </c>
      <c r="H396" s="27" t="s">
        <v>16</v>
      </c>
      <c r="I396" s="29" t="s">
        <v>240</v>
      </c>
    </row>
    <row r="397" customFormat="false" ht="15" hidden="false" customHeight="false" outlineLevel="0" collapsed="false">
      <c r="A397" s="27" t="s">
        <v>476</v>
      </c>
      <c r="B397" s="27" t="s">
        <v>178</v>
      </c>
      <c r="C397" s="27" t="n">
        <v>49470417</v>
      </c>
      <c r="D397" s="28" t="n">
        <v>0.75</v>
      </c>
      <c r="E397" s="28" t="n">
        <v>0.916666666666667</v>
      </c>
      <c r="F397" s="27" t="s">
        <v>344</v>
      </c>
      <c r="G397" s="27" t="s">
        <v>222</v>
      </c>
      <c r="H397" s="27" t="s">
        <v>13</v>
      </c>
      <c r="I397" s="29" t="s">
        <v>141</v>
      </c>
    </row>
    <row r="398" customFormat="false" ht="15" hidden="false" customHeight="false" outlineLevel="0" collapsed="false">
      <c r="A398" s="27" t="s">
        <v>477</v>
      </c>
      <c r="B398" s="27" t="s">
        <v>421</v>
      </c>
      <c r="C398" s="27" t="n">
        <v>41063336</v>
      </c>
      <c r="D398" s="28" t="n">
        <v>0.75</v>
      </c>
      <c r="E398" s="28" t="n">
        <v>0.916666666666667</v>
      </c>
      <c r="F398" s="27" t="s">
        <v>243</v>
      </c>
      <c r="G398" s="27" t="s">
        <v>222</v>
      </c>
      <c r="H398" s="27" t="s">
        <v>17</v>
      </c>
      <c r="I398" s="29" t="s">
        <v>15</v>
      </c>
    </row>
    <row r="399" customFormat="false" ht="15" hidden="false" customHeight="false" outlineLevel="0" collapsed="false">
      <c r="A399" s="27" t="s">
        <v>477</v>
      </c>
      <c r="B399" s="27" t="s">
        <v>178</v>
      </c>
      <c r="C399" s="27" t="n">
        <v>49470417</v>
      </c>
      <c r="D399" s="28" t="n">
        <v>0.75</v>
      </c>
      <c r="E399" s="28" t="n">
        <v>0.916666666666667</v>
      </c>
      <c r="F399" s="27" t="s">
        <v>243</v>
      </c>
      <c r="G399" s="27" t="s">
        <v>222</v>
      </c>
      <c r="H399" s="27" t="s">
        <v>13</v>
      </c>
      <c r="I399" s="29" t="s">
        <v>240</v>
      </c>
    </row>
    <row r="400" customFormat="false" ht="15" hidden="false" customHeight="false" outlineLevel="0" collapsed="false">
      <c r="A400" s="27" t="s">
        <v>477</v>
      </c>
      <c r="B400" s="27" t="s">
        <v>400</v>
      </c>
      <c r="C400" s="27" t="n">
        <v>32733334</v>
      </c>
      <c r="D400" s="28" t="n">
        <v>0.75</v>
      </c>
      <c r="E400" s="28" t="n">
        <v>0.916666666666667</v>
      </c>
      <c r="F400" s="27" t="s">
        <v>243</v>
      </c>
      <c r="G400" s="27" t="s">
        <v>222</v>
      </c>
      <c r="H400" s="27" t="s">
        <v>16</v>
      </c>
      <c r="I400" s="29" t="s">
        <v>141</v>
      </c>
    </row>
    <row r="401" customFormat="false" ht="15" hidden="false" customHeight="false" outlineLevel="0" collapsed="false">
      <c r="A401" s="27" t="s">
        <v>478</v>
      </c>
      <c r="B401" s="27" t="s">
        <v>474</v>
      </c>
      <c r="C401" s="27" t="n">
        <v>34151744</v>
      </c>
      <c r="D401" s="28" t="n">
        <v>0.75</v>
      </c>
      <c r="E401" s="28" t="n">
        <v>0.916666666666667</v>
      </c>
      <c r="F401" s="27" t="s">
        <v>246</v>
      </c>
      <c r="G401" s="27" t="s">
        <v>222</v>
      </c>
      <c r="H401" s="27" t="s">
        <v>13</v>
      </c>
      <c r="I401" s="29" t="s">
        <v>15</v>
      </c>
    </row>
    <row r="402" customFormat="false" ht="15" hidden="false" customHeight="false" outlineLevel="0" collapsed="false">
      <c r="A402" s="27" t="s">
        <v>478</v>
      </c>
      <c r="B402" s="27" t="s">
        <v>232</v>
      </c>
      <c r="C402" s="27" t="n">
        <v>31613463</v>
      </c>
      <c r="D402" s="28" t="n">
        <v>0.75</v>
      </c>
      <c r="E402" s="28" t="n">
        <v>0.916666666666667</v>
      </c>
      <c r="F402" s="27" t="s">
        <v>246</v>
      </c>
      <c r="G402" s="27" t="s">
        <v>222</v>
      </c>
      <c r="H402" s="27" t="s">
        <v>16</v>
      </c>
      <c r="I402" s="29" t="s">
        <v>240</v>
      </c>
    </row>
    <row r="403" customFormat="false" ht="15" hidden="false" customHeight="false" outlineLevel="0" collapsed="false">
      <c r="A403" s="27" t="s">
        <v>478</v>
      </c>
      <c r="B403" s="27" t="s">
        <v>479</v>
      </c>
      <c r="C403" s="27" t="n">
        <v>48149828</v>
      </c>
      <c r="D403" s="28" t="n">
        <v>0.75</v>
      </c>
      <c r="E403" s="28" t="n">
        <v>0.916666666666667</v>
      </c>
      <c r="F403" s="27" t="s">
        <v>246</v>
      </c>
      <c r="G403" s="27" t="s">
        <v>222</v>
      </c>
      <c r="H403" s="27" t="s">
        <v>17</v>
      </c>
      <c r="I403" s="29" t="s">
        <v>141</v>
      </c>
    </row>
    <row r="404" customFormat="false" ht="15" hidden="false" customHeight="false" outlineLevel="0" collapsed="false">
      <c r="A404" s="27" t="s">
        <v>480</v>
      </c>
      <c r="B404" s="27" t="s">
        <v>450</v>
      </c>
      <c r="C404" s="27" t="n">
        <v>22340220</v>
      </c>
      <c r="D404" s="28" t="n">
        <v>0.75</v>
      </c>
      <c r="E404" s="28" t="n">
        <v>0.916666666666667</v>
      </c>
      <c r="F404" s="27" t="s">
        <v>250</v>
      </c>
      <c r="G404" s="27" t="s">
        <v>222</v>
      </c>
      <c r="H404" s="27" t="s">
        <v>17</v>
      </c>
      <c r="I404" s="29" t="s">
        <v>15</v>
      </c>
    </row>
    <row r="405" customFormat="false" ht="15" hidden="false" customHeight="false" outlineLevel="0" collapsed="false">
      <c r="A405" s="27" t="s">
        <v>480</v>
      </c>
      <c r="B405" s="27" t="s">
        <v>145</v>
      </c>
      <c r="C405" s="27" t="n">
        <v>33175832</v>
      </c>
      <c r="D405" s="28" t="n">
        <v>0.75</v>
      </c>
      <c r="E405" s="28" t="n">
        <v>0.916666666666667</v>
      </c>
      <c r="F405" s="27" t="s">
        <v>250</v>
      </c>
      <c r="G405" s="27" t="s">
        <v>222</v>
      </c>
      <c r="H405" s="27" t="s">
        <v>13</v>
      </c>
      <c r="I405" s="29" t="s">
        <v>240</v>
      </c>
    </row>
    <row r="406" customFormat="false" ht="15" hidden="false" customHeight="false" outlineLevel="0" collapsed="false">
      <c r="A406" s="27" t="s">
        <v>480</v>
      </c>
      <c r="B406" s="27" t="s">
        <v>277</v>
      </c>
      <c r="C406" s="27" t="n">
        <v>39166055</v>
      </c>
      <c r="D406" s="28" t="n">
        <v>0.75</v>
      </c>
      <c r="E406" s="28" t="n">
        <v>0.916666666666667</v>
      </c>
      <c r="F406" s="27" t="s">
        <v>250</v>
      </c>
      <c r="G406" s="27" t="s">
        <v>222</v>
      </c>
      <c r="H406" s="27" t="s">
        <v>16</v>
      </c>
      <c r="I406" s="29" t="s">
        <v>141</v>
      </c>
    </row>
    <row r="407" customFormat="false" ht="15" hidden="false" customHeight="false" outlineLevel="0" collapsed="false">
      <c r="A407" s="27" t="s">
        <v>481</v>
      </c>
      <c r="B407" s="27" t="s">
        <v>409</v>
      </c>
      <c r="C407" s="27" t="n">
        <v>29592174</v>
      </c>
      <c r="D407" s="28" t="n">
        <v>0.75</v>
      </c>
      <c r="E407" s="28" t="n">
        <v>0.916666666666667</v>
      </c>
      <c r="F407" s="27" t="s">
        <v>254</v>
      </c>
      <c r="G407" s="27" t="s">
        <v>222</v>
      </c>
      <c r="H407" s="27" t="s">
        <v>16</v>
      </c>
      <c r="I407" s="29" t="s">
        <v>15</v>
      </c>
    </row>
    <row r="408" customFormat="false" ht="15" hidden="false" customHeight="false" outlineLevel="0" collapsed="false">
      <c r="A408" s="27" t="s">
        <v>481</v>
      </c>
      <c r="B408" s="27" t="s">
        <v>439</v>
      </c>
      <c r="C408" s="27" t="n">
        <v>46483735</v>
      </c>
      <c r="D408" s="28" t="n">
        <v>0.75</v>
      </c>
      <c r="E408" s="28" t="n">
        <v>0.916666666666667</v>
      </c>
      <c r="F408" s="27" t="s">
        <v>254</v>
      </c>
      <c r="G408" s="27" t="s">
        <v>222</v>
      </c>
      <c r="H408" s="27" t="s">
        <v>17</v>
      </c>
      <c r="I408" s="29" t="s">
        <v>240</v>
      </c>
    </row>
    <row r="409" customFormat="false" ht="15" hidden="false" customHeight="false" outlineLevel="0" collapsed="false">
      <c r="A409" s="27" t="s">
        <v>481</v>
      </c>
      <c r="B409" s="27" t="s">
        <v>308</v>
      </c>
      <c r="C409" s="27" t="n">
        <v>46115210</v>
      </c>
      <c r="D409" s="28" t="n">
        <v>0.75</v>
      </c>
      <c r="E409" s="28" t="n">
        <v>0.916666666666667</v>
      </c>
      <c r="F409" s="27" t="s">
        <v>254</v>
      </c>
      <c r="G409" s="27" t="s">
        <v>222</v>
      </c>
      <c r="H409" s="27" t="s">
        <v>13</v>
      </c>
      <c r="I409" s="29" t="s">
        <v>141</v>
      </c>
    </row>
    <row r="410" customFormat="false" ht="15" hidden="false" customHeight="false" outlineLevel="0" collapsed="false">
      <c r="A410" s="27" t="s">
        <v>482</v>
      </c>
      <c r="B410" s="27" t="s">
        <v>483</v>
      </c>
      <c r="C410" s="27" t="n">
        <v>42708528</v>
      </c>
      <c r="D410" s="28" t="n">
        <v>0.333333333333333</v>
      </c>
      <c r="E410" s="28" t="n">
        <v>0.416666666666667</v>
      </c>
      <c r="F410" s="27" t="s">
        <v>331</v>
      </c>
      <c r="G410" s="27" t="s">
        <v>202</v>
      </c>
      <c r="H410" s="27" t="s">
        <v>484</v>
      </c>
      <c r="I410" s="29" t="s">
        <v>141</v>
      </c>
    </row>
    <row r="411" customFormat="false" ht="15" hidden="false" customHeight="false" outlineLevel="0" collapsed="false">
      <c r="A411" s="27" t="s">
        <v>485</v>
      </c>
      <c r="B411" s="27" t="s">
        <v>486</v>
      </c>
      <c r="C411" s="27" t="n">
        <v>21556752</v>
      </c>
      <c r="D411" s="28" t="n">
        <v>0.833333333333333</v>
      </c>
      <c r="E411" s="28" t="n">
        <v>0.916666666666667</v>
      </c>
      <c r="F411" s="27" t="s">
        <v>331</v>
      </c>
      <c r="G411" s="27" t="s">
        <v>202</v>
      </c>
      <c r="H411" s="27" t="s">
        <v>484</v>
      </c>
      <c r="I411" s="29" t="s">
        <v>15</v>
      </c>
    </row>
    <row r="412" customFormat="false" ht="15" hidden="false" customHeight="false" outlineLevel="0" collapsed="false">
      <c r="A412" s="27" t="s">
        <v>487</v>
      </c>
      <c r="B412" s="27" t="s">
        <v>486</v>
      </c>
      <c r="C412" s="27" t="n">
        <v>21556752</v>
      </c>
      <c r="D412" s="28" t="n">
        <v>0.833333333333333</v>
      </c>
      <c r="E412" s="28" t="n">
        <v>0.916666666666667</v>
      </c>
      <c r="F412" s="27" t="s">
        <v>199</v>
      </c>
      <c r="G412" s="27" t="s">
        <v>128</v>
      </c>
      <c r="H412" s="27" t="s">
        <v>484</v>
      </c>
      <c r="I412" s="29" t="s">
        <v>240</v>
      </c>
    </row>
    <row r="413" customFormat="false" ht="15" hidden="false" customHeight="false" outlineLevel="0" collapsed="false">
      <c r="A413" s="27" t="s">
        <v>488</v>
      </c>
      <c r="B413" s="27" t="s">
        <v>386</v>
      </c>
      <c r="C413" s="27" t="n">
        <v>47797909</v>
      </c>
      <c r="D413" s="28" t="n">
        <v>0.416666666666667</v>
      </c>
      <c r="E413" s="28" t="n">
        <v>0.5</v>
      </c>
      <c r="F413" s="27" t="s">
        <v>199</v>
      </c>
      <c r="G413" s="27" t="s">
        <v>128</v>
      </c>
      <c r="H413" s="27" t="s">
        <v>484</v>
      </c>
      <c r="I413" s="29" t="s">
        <v>240</v>
      </c>
    </row>
    <row r="414" customFormat="false" ht="15" hidden="false" customHeight="false" outlineLevel="0" collapsed="false">
      <c r="A414" s="27" t="s">
        <v>489</v>
      </c>
      <c r="B414" s="27" t="s">
        <v>386</v>
      </c>
      <c r="C414" s="27" t="n">
        <v>47797909</v>
      </c>
      <c r="D414" s="28" t="n">
        <v>0.416666666666667</v>
      </c>
      <c r="E414" s="28" t="n">
        <v>0.5</v>
      </c>
      <c r="F414" s="27" t="s">
        <v>199</v>
      </c>
      <c r="G414" s="27" t="s">
        <v>128</v>
      </c>
      <c r="H414" s="27" t="s">
        <v>484</v>
      </c>
      <c r="I414" s="29" t="s">
        <v>274</v>
      </c>
    </row>
    <row r="415" customFormat="false" ht="15" hidden="false" customHeight="false" outlineLevel="0" collapsed="false">
      <c r="A415" s="27" t="s">
        <v>490</v>
      </c>
      <c r="B415" s="27" t="s">
        <v>483</v>
      </c>
      <c r="C415" s="27" t="n">
        <v>42708528</v>
      </c>
      <c r="D415" s="28" t="n">
        <v>0.583333333333333</v>
      </c>
      <c r="E415" s="28" t="n">
        <v>0.666666666666667</v>
      </c>
      <c r="F415" s="27" t="s">
        <v>331</v>
      </c>
      <c r="G415" s="27" t="s">
        <v>202</v>
      </c>
      <c r="H415" s="27" t="s">
        <v>484</v>
      </c>
      <c r="I415" s="29" t="s">
        <v>15</v>
      </c>
    </row>
    <row r="416" customFormat="false" ht="15" hidden="false" customHeight="false" outlineLevel="0" collapsed="false">
      <c r="A416" s="27" t="s">
        <v>491</v>
      </c>
      <c r="B416" s="27" t="s">
        <v>492</v>
      </c>
      <c r="C416" s="27" t="n">
        <v>31951065</v>
      </c>
      <c r="D416" s="28" t="n">
        <v>0.583333333333333</v>
      </c>
      <c r="E416" s="28" t="n">
        <v>0.666666666666667</v>
      </c>
      <c r="F416" s="27" t="s">
        <v>201</v>
      </c>
      <c r="G416" s="27" t="s">
        <v>202</v>
      </c>
      <c r="H416" s="27" t="s">
        <v>484</v>
      </c>
      <c r="I416" s="29" t="s">
        <v>130</v>
      </c>
    </row>
    <row r="417" customFormat="false" ht="15" hidden="false" customHeight="false" outlineLevel="0" collapsed="false">
      <c r="A417" s="27" t="s">
        <v>493</v>
      </c>
      <c r="B417" s="27" t="s">
        <v>492</v>
      </c>
      <c r="C417" s="27" t="n">
        <v>31951065</v>
      </c>
      <c r="D417" s="28" t="n">
        <v>0.666666666666667</v>
      </c>
      <c r="E417" s="28" t="n">
        <v>0.75</v>
      </c>
      <c r="F417" s="27" t="s">
        <v>331</v>
      </c>
      <c r="G417" s="27" t="s">
        <v>202</v>
      </c>
      <c r="H417" s="27" t="s">
        <v>484</v>
      </c>
      <c r="I417" s="29" t="s">
        <v>93</v>
      </c>
    </row>
    <row r="418" customFormat="false" ht="15" hidden="false" customHeight="false" outlineLevel="0" collapsed="false">
      <c r="A418" s="27" t="s">
        <v>493</v>
      </c>
      <c r="B418" s="27" t="s">
        <v>492</v>
      </c>
      <c r="C418" s="27" t="n">
        <v>31951065</v>
      </c>
      <c r="D418" s="28" t="n">
        <v>0.666666666666667</v>
      </c>
      <c r="E418" s="28" t="n">
        <v>0.75</v>
      </c>
      <c r="F418" s="27" t="s">
        <v>199</v>
      </c>
      <c r="G418" s="27" t="s">
        <v>128</v>
      </c>
      <c r="H418" s="27" t="s">
        <v>484</v>
      </c>
      <c r="I418" s="29" t="s">
        <v>274</v>
      </c>
    </row>
    <row r="419" customFormat="false" ht="15" hidden="false" customHeight="false" outlineLevel="0" collapsed="false">
      <c r="A419" s="27" t="s">
        <v>494</v>
      </c>
      <c r="B419" s="27" t="s">
        <v>492</v>
      </c>
      <c r="C419" s="27" t="n">
        <v>31951065</v>
      </c>
      <c r="D419" s="28" t="n">
        <v>0.75</v>
      </c>
      <c r="E419" s="28" t="n">
        <v>0.833333333333333</v>
      </c>
      <c r="F419" s="27" t="s">
        <v>331</v>
      </c>
      <c r="G419" s="27" t="s">
        <v>202</v>
      </c>
      <c r="H419" s="27" t="s">
        <v>484</v>
      </c>
      <c r="I419" s="29" t="s">
        <v>93</v>
      </c>
    </row>
    <row r="420" customFormat="false" ht="15" hidden="false" customHeight="false" outlineLevel="0" collapsed="false">
      <c r="A420" s="29"/>
      <c r="B420" s="29"/>
      <c r="C420" s="29"/>
      <c r="D420" s="29"/>
      <c r="E420" s="29"/>
      <c r="F420" s="29"/>
      <c r="G420" s="29"/>
      <c r="H420" s="29"/>
      <c r="I420" s="29"/>
    </row>
    <row r="421" customFormat="false" ht="15" hidden="false" customHeight="false" outlineLevel="0" collapsed="false">
      <c r="A421" s="29"/>
      <c r="B421" s="29"/>
      <c r="C421" s="29"/>
      <c r="D421" s="29"/>
      <c r="E421" s="29"/>
      <c r="F421" s="29"/>
      <c r="G421" s="29"/>
      <c r="H421" s="29"/>
      <c r="I421" s="29"/>
    </row>
    <row r="422" customFormat="false" ht="15" hidden="false" customHeight="false" outlineLevel="0" collapsed="false">
      <c r="A422" s="29"/>
      <c r="B422" s="29"/>
      <c r="C422" s="29"/>
      <c r="D422" s="29"/>
      <c r="E422" s="29"/>
      <c r="F422" s="29"/>
      <c r="G422" s="29"/>
      <c r="H422" s="29"/>
      <c r="I422" s="29"/>
    </row>
    <row r="423" customFormat="false" ht="15" hidden="false" customHeight="false" outlineLevel="0" collapsed="false">
      <c r="A423" s="29"/>
      <c r="B423" s="29"/>
      <c r="C423" s="29"/>
      <c r="D423" s="29"/>
      <c r="E423" s="29"/>
      <c r="F423" s="29"/>
      <c r="G423" s="29"/>
      <c r="H423" s="29"/>
      <c r="I423" s="29"/>
    </row>
    <row r="424" customFormat="false" ht="15" hidden="false" customHeight="false" outlineLevel="0" collapsed="false">
      <c r="A424" s="29"/>
      <c r="B424" s="29"/>
      <c r="C424" s="29"/>
      <c r="D424" s="29"/>
      <c r="E424" s="29"/>
      <c r="F424" s="29"/>
      <c r="G424" s="29"/>
      <c r="H424" s="29"/>
      <c r="I424" s="29"/>
    </row>
    <row r="425" customFormat="false" ht="15" hidden="false" customHeight="false" outlineLevel="0" collapsed="false">
      <c r="A425" s="29"/>
      <c r="B425" s="29"/>
      <c r="C425" s="29"/>
      <c r="D425" s="29"/>
      <c r="E425" s="29"/>
      <c r="F425" s="29"/>
      <c r="G425" s="29"/>
      <c r="H425" s="29"/>
      <c r="I425" s="29"/>
    </row>
    <row r="426" customFormat="false" ht="15" hidden="false" customHeight="false" outlineLevel="0" collapsed="false">
      <c r="A426" s="29"/>
      <c r="B426" s="29"/>
      <c r="C426" s="29"/>
      <c r="D426" s="29"/>
      <c r="E426" s="29"/>
      <c r="F426" s="29"/>
      <c r="G426" s="29"/>
      <c r="H426" s="29"/>
      <c r="I426" s="29"/>
    </row>
    <row r="427" customFormat="false" ht="15" hidden="false" customHeight="false" outlineLevel="0" collapsed="false">
      <c r="A427" s="29"/>
      <c r="B427" s="29"/>
      <c r="C427" s="29"/>
      <c r="D427" s="29"/>
      <c r="E427" s="29"/>
      <c r="F427" s="29"/>
      <c r="G427" s="29"/>
      <c r="H427" s="29"/>
      <c r="I427" s="29"/>
    </row>
    <row r="428" customFormat="false" ht="15" hidden="false" customHeight="false" outlineLevel="0" collapsed="false">
      <c r="A428" s="29"/>
      <c r="B428" s="29"/>
      <c r="C428" s="29"/>
      <c r="D428" s="29"/>
      <c r="E428" s="29"/>
      <c r="F428" s="29"/>
      <c r="G428" s="29"/>
      <c r="H428" s="29"/>
      <c r="I428" s="29"/>
    </row>
    <row r="429" customFormat="false" ht="15" hidden="false" customHeight="false" outlineLevel="0" collapsed="false">
      <c r="A429" s="29"/>
      <c r="B429" s="29"/>
      <c r="C429" s="29"/>
      <c r="D429" s="29"/>
      <c r="E429" s="29"/>
      <c r="F429" s="29"/>
      <c r="G429" s="29"/>
      <c r="H429" s="29"/>
      <c r="I429" s="29"/>
    </row>
    <row r="430" customFormat="false" ht="15" hidden="false" customHeight="false" outlineLevel="0" collapsed="false">
      <c r="A430" s="29"/>
      <c r="B430" s="29"/>
      <c r="C430" s="29"/>
      <c r="D430" s="29"/>
      <c r="E430" s="29"/>
      <c r="F430" s="29"/>
      <c r="G430" s="29"/>
      <c r="H430" s="29"/>
      <c r="I430" s="29"/>
    </row>
    <row r="431" customFormat="false" ht="15" hidden="false" customHeight="false" outlineLevel="0" collapsed="false">
      <c r="A431" s="29"/>
      <c r="B431" s="29"/>
      <c r="C431" s="29"/>
      <c r="D431" s="29"/>
      <c r="E431" s="29"/>
      <c r="F431" s="29"/>
      <c r="G431" s="29"/>
      <c r="H431" s="29"/>
      <c r="I431" s="29"/>
    </row>
    <row r="432" customFormat="false" ht="15" hidden="false" customHeight="false" outlineLevel="0" collapsed="false">
      <c r="A432" s="29"/>
      <c r="B432" s="29"/>
      <c r="C432" s="29"/>
      <c r="D432" s="29"/>
      <c r="E432" s="29"/>
      <c r="F432" s="29"/>
      <c r="G432" s="29"/>
      <c r="H432" s="29"/>
      <c r="I432" s="29"/>
    </row>
    <row r="433" customFormat="false" ht="15" hidden="false" customHeight="false" outlineLevel="0" collapsed="false">
      <c r="A433" s="29"/>
      <c r="B433" s="29"/>
      <c r="C433" s="29"/>
      <c r="D433" s="29"/>
      <c r="E433" s="29"/>
      <c r="F433" s="29"/>
      <c r="G433" s="29"/>
      <c r="H433" s="29"/>
      <c r="I433" s="29"/>
    </row>
    <row r="434" customFormat="false" ht="15" hidden="false" customHeight="false" outlineLevel="0" collapsed="false">
      <c r="A434" s="29"/>
      <c r="B434" s="29"/>
      <c r="C434" s="29"/>
      <c r="D434" s="29"/>
      <c r="E434" s="29"/>
      <c r="F434" s="29"/>
      <c r="G434" s="29"/>
      <c r="H434" s="29"/>
      <c r="I434" s="29"/>
    </row>
    <row r="435" customFormat="false" ht="15" hidden="false" customHeight="false" outlineLevel="0" collapsed="false">
      <c r="A435" s="29"/>
      <c r="B435" s="29"/>
      <c r="C435" s="29"/>
      <c r="D435" s="29"/>
      <c r="E435" s="29"/>
      <c r="F435" s="29"/>
      <c r="G435" s="29"/>
      <c r="H435" s="29"/>
      <c r="I435" s="29"/>
    </row>
    <row r="436" customFormat="false" ht="15" hidden="false" customHeight="false" outlineLevel="0" collapsed="false">
      <c r="A436" s="29"/>
      <c r="B436" s="29"/>
      <c r="C436" s="29"/>
      <c r="D436" s="29"/>
      <c r="E436" s="29"/>
      <c r="F436" s="29"/>
      <c r="G436" s="29"/>
      <c r="H436" s="29"/>
      <c r="I436" s="29"/>
    </row>
    <row r="437" customFormat="false" ht="15" hidden="false" customHeight="false" outlineLevel="0" collapsed="false">
      <c r="A437" s="29"/>
      <c r="B437" s="29"/>
      <c r="C437" s="29"/>
      <c r="D437" s="29"/>
      <c r="E437" s="29"/>
      <c r="F437" s="29"/>
      <c r="G437" s="29"/>
      <c r="H437" s="29"/>
      <c r="I437" s="29"/>
    </row>
    <row r="438" customFormat="false" ht="15" hidden="false" customHeight="false" outlineLevel="0" collapsed="false">
      <c r="A438" s="29"/>
      <c r="B438" s="29"/>
      <c r="C438" s="29"/>
      <c r="D438" s="29"/>
      <c r="E438" s="29"/>
      <c r="F438" s="29"/>
      <c r="G438" s="29"/>
      <c r="H438" s="29"/>
      <c r="I438" s="29"/>
    </row>
    <row r="439" customFormat="false" ht="15" hidden="false" customHeight="false" outlineLevel="0" collapsed="false">
      <c r="A439" s="29"/>
      <c r="B439" s="29"/>
      <c r="C439" s="29"/>
      <c r="D439" s="29"/>
      <c r="E439" s="29"/>
      <c r="F439" s="29"/>
      <c r="G439" s="29"/>
      <c r="H439" s="29"/>
      <c r="I439" s="29"/>
    </row>
    <row r="440" customFormat="false" ht="15" hidden="false" customHeight="false" outlineLevel="0" collapsed="false">
      <c r="A440" s="29"/>
      <c r="B440" s="29"/>
      <c r="C440" s="29"/>
      <c r="D440" s="29"/>
      <c r="E440" s="29"/>
      <c r="F440" s="29"/>
      <c r="G440" s="29"/>
      <c r="H440" s="29"/>
      <c r="I440" s="29"/>
    </row>
    <row r="441" customFormat="false" ht="15" hidden="false" customHeight="false" outlineLevel="0" collapsed="false">
      <c r="A441" s="29"/>
      <c r="B441" s="29"/>
      <c r="C441" s="29"/>
      <c r="D441" s="29"/>
      <c r="E441" s="29"/>
      <c r="F441" s="29"/>
      <c r="G441" s="29"/>
      <c r="H441" s="29"/>
      <c r="I441" s="29"/>
    </row>
    <row r="442" customFormat="false" ht="15" hidden="false" customHeight="false" outlineLevel="0" collapsed="false">
      <c r="A442" s="29"/>
      <c r="B442" s="29"/>
      <c r="C442" s="29"/>
      <c r="D442" s="29"/>
      <c r="E442" s="29"/>
      <c r="F442" s="29"/>
      <c r="G442" s="29"/>
      <c r="H442" s="29"/>
      <c r="I442" s="29"/>
    </row>
    <row r="443" customFormat="false" ht="15" hidden="false" customHeight="false" outlineLevel="0" collapsed="false">
      <c r="A443" s="29"/>
      <c r="B443" s="29"/>
      <c r="C443" s="29"/>
      <c r="D443" s="29"/>
      <c r="E443" s="29"/>
      <c r="F443" s="29"/>
      <c r="G443" s="29"/>
      <c r="H443" s="29"/>
      <c r="I443" s="29"/>
    </row>
    <row r="444" customFormat="false" ht="15" hidden="false" customHeight="false" outlineLevel="0" collapsed="false">
      <c r="A444" s="29"/>
      <c r="B444" s="29"/>
      <c r="C444" s="29"/>
      <c r="D444" s="29"/>
      <c r="E444" s="29"/>
      <c r="F444" s="29"/>
      <c r="G444" s="29"/>
      <c r="H444" s="29"/>
      <c r="I444" s="29"/>
    </row>
    <row r="445" customFormat="false" ht="15" hidden="false" customHeight="false" outlineLevel="0" collapsed="false">
      <c r="A445" s="29"/>
      <c r="B445" s="29"/>
      <c r="C445" s="29"/>
      <c r="D445" s="29"/>
      <c r="E445" s="29"/>
      <c r="F445" s="29"/>
      <c r="G445" s="29"/>
      <c r="H445" s="29"/>
      <c r="I445" s="29"/>
    </row>
    <row r="446" customFormat="false" ht="15" hidden="false" customHeight="false" outlineLevel="0" collapsed="false">
      <c r="A446" s="29"/>
      <c r="B446" s="29"/>
      <c r="C446" s="29"/>
      <c r="D446" s="29"/>
      <c r="E446" s="29"/>
      <c r="F446" s="29"/>
      <c r="G446" s="29"/>
      <c r="H446" s="29"/>
      <c r="I446" s="29"/>
    </row>
    <row r="447" customFormat="false" ht="15" hidden="false" customHeight="false" outlineLevel="0" collapsed="false">
      <c r="A447" s="29"/>
      <c r="B447" s="29"/>
      <c r="C447" s="29"/>
      <c r="D447" s="29"/>
      <c r="E447" s="29"/>
      <c r="F447" s="29"/>
      <c r="G447" s="29"/>
      <c r="H447" s="29"/>
      <c r="I447" s="29"/>
    </row>
    <row r="448" customFormat="false" ht="15" hidden="false" customHeight="false" outlineLevel="0" collapsed="false">
      <c r="A448" s="29"/>
      <c r="B448" s="29"/>
      <c r="C448" s="29"/>
      <c r="D448" s="29"/>
      <c r="E448" s="29"/>
      <c r="F448" s="29"/>
      <c r="G448" s="29"/>
      <c r="H448" s="29"/>
      <c r="I448" s="29"/>
    </row>
    <row r="449" customFormat="false" ht="15" hidden="false" customHeight="false" outlineLevel="0" collapsed="false">
      <c r="A449" s="29"/>
      <c r="B449" s="29"/>
      <c r="C449" s="29"/>
      <c r="D449" s="29"/>
      <c r="E449" s="29"/>
      <c r="F449" s="29"/>
      <c r="G449" s="29"/>
      <c r="H449" s="29"/>
      <c r="I449" s="29"/>
    </row>
    <row r="450" customFormat="false" ht="15" hidden="false" customHeight="false" outlineLevel="0" collapsed="false">
      <c r="A450" s="29"/>
      <c r="B450" s="29"/>
      <c r="C450" s="29"/>
      <c r="D450" s="29"/>
      <c r="E450" s="29"/>
      <c r="F450" s="29"/>
      <c r="G450" s="29"/>
      <c r="H450" s="29"/>
      <c r="I450" s="29"/>
    </row>
    <row r="451" customFormat="false" ht="15" hidden="false" customHeight="false" outlineLevel="0" collapsed="false">
      <c r="A451" s="29"/>
      <c r="B451" s="29"/>
      <c r="C451" s="29"/>
      <c r="D451" s="29"/>
      <c r="E451" s="29"/>
      <c r="F451" s="29"/>
      <c r="G451" s="29"/>
      <c r="H451" s="29"/>
      <c r="I451" s="29"/>
    </row>
    <row r="452" customFormat="false" ht="15" hidden="false" customHeight="false" outlineLevel="0" collapsed="false">
      <c r="A452" s="29"/>
      <c r="B452" s="29"/>
      <c r="C452" s="29"/>
      <c r="D452" s="29"/>
      <c r="E452" s="29"/>
      <c r="F452" s="29"/>
      <c r="G452" s="29"/>
      <c r="H452" s="29"/>
      <c r="I452" s="29"/>
    </row>
    <row r="453" customFormat="false" ht="15" hidden="false" customHeight="false" outlineLevel="0" collapsed="false">
      <c r="A453" s="29"/>
      <c r="B453" s="29"/>
      <c r="C453" s="29"/>
      <c r="D453" s="29"/>
      <c r="E453" s="29"/>
      <c r="F453" s="29"/>
      <c r="G453" s="29"/>
      <c r="H453" s="29"/>
      <c r="I453" s="29"/>
    </row>
    <row r="454" customFormat="false" ht="15" hidden="false" customHeight="false" outlineLevel="0" collapsed="false">
      <c r="A454" s="29"/>
      <c r="B454" s="29"/>
      <c r="C454" s="29"/>
      <c r="D454" s="29"/>
      <c r="E454" s="29"/>
      <c r="F454" s="29"/>
      <c r="G454" s="29"/>
      <c r="H454" s="29"/>
      <c r="I454" s="29"/>
    </row>
    <row r="455" customFormat="false" ht="15" hidden="false" customHeight="false" outlineLevel="0" collapsed="false">
      <c r="A455" s="29"/>
      <c r="B455" s="29"/>
      <c r="C455" s="29"/>
      <c r="D455" s="29"/>
      <c r="E455" s="29"/>
      <c r="F455" s="29"/>
      <c r="G455" s="29"/>
      <c r="H455" s="29"/>
      <c r="I455" s="29"/>
    </row>
    <row r="456" customFormat="false" ht="15" hidden="false" customHeight="false" outlineLevel="0" collapsed="false">
      <c r="A456" s="29"/>
      <c r="B456" s="29"/>
      <c r="C456" s="29"/>
      <c r="D456" s="29"/>
      <c r="E456" s="29"/>
      <c r="F456" s="29"/>
      <c r="G456" s="29"/>
      <c r="H456" s="29"/>
      <c r="I456" s="29"/>
    </row>
    <row r="457" customFormat="false" ht="15" hidden="false" customHeight="false" outlineLevel="0" collapsed="false">
      <c r="A457" s="29"/>
      <c r="B457" s="29"/>
      <c r="C457" s="29"/>
      <c r="D457" s="29"/>
      <c r="E457" s="29"/>
      <c r="F457" s="29"/>
      <c r="G457" s="29"/>
      <c r="H457" s="29"/>
      <c r="I457" s="29"/>
    </row>
    <row r="458" customFormat="false" ht="15" hidden="false" customHeight="false" outlineLevel="0" collapsed="false">
      <c r="A458" s="29"/>
      <c r="B458" s="29"/>
      <c r="C458" s="29"/>
      <c r="D458" s="29"/>
      <c r="E458" s="29"/>
      <c r="F458" s="29"/>
      <c r="G458" s="29"/>
      <c r="H458" s="29"/>
      <c r="I458" s="29"/>
    </row>
    <row r="459" customFormat="false" ht="15" hidden="false" customHeight="false" outlineLevel="0" collapsed="false">
      <c r="A459" s="29"/>
      <c r="B459" s="29"/>
      <c r="C459" s="29"/>
      <c r="D459" s="29"/>
      <c r="E459" s="29"/>
      <c r="F459" s="29"/>
      <c r="G459" s="29"/>
      <c r="H459" s="29"/>
      <c r="I459" s="29"/>
    </row>
    <row r="460" customFormat="false" ht="15" hidden="false" customHeight="false" outlineLevel="0" collapsed="false">
      <c r="A460" s="29"/>
      <c r="B460" s="29"/>
      <c r="C460" s="29"/>
      <c r="D460" s="29"/>
      <c r="E460" s="29"/>
      <c r="F460" s="29"/>
      <c r="G460" s="29"/>
      <c r="H460" s="29"/>
      <c r="I460" s="29"/>
    </row>
    <row r="461" customFormat="false" ht="15" hidden="false" customHeight="false" outlineLevel="0" collapsed="false">
      <c r="A461" s="29"/>
      <c r="B461" s="29"/>
      <c r="C461" s="29"/>
      <c r="D461" s="29"/>
      <c r="E461" s="29"/>
      <c r="F461" s="29"/>
      <c r="G461" s="29"/>
      <c r="H461" s="29"/>
      <c r="I461" s="29"/>
    </row>
    <row r="462" customFormat="false" ht="15" hidden="false" customHeight="false" outlineLevel="0" collapsed="false">
      <c r="A462" s="29"/>
      <c r="B462" s="29"/>
      <c r="C462" s="29"/>
      <c r="D462" s="29"/>
      <c r="E462" s="29"/>
      <c r="F462" s="29"/>
      <c r="G462" s="29"/>
      <c r="H462" s="29"/>
      <c r="I462" s="29"/>
    </row>
    <row r="463" customFormat="false" ht="15" hidden="false" customHeight="false" outlineLevel="0" collapsed="false">
      <c r="A463" s="29"/>
      <c r="B463" s="29"/>
      <c r="C463" s="29"/>
      <c r="D463" s="29"/>
      <c r="E463" s="29"/>
      <c r="F463" s="29"/>
      <c r="G463" s="29"/>
      <c r="H463" s="29"/>
      <c r="I463" s="29"/>
    </row>
    <row r="464" customFormat="false" ht="15" hidden="false" customHeight="false" outlineLevel="0" collapsed="false">
      <c r="A464" s="29"/>
      <c r="B464" s="29"/>
      <c r="C464" s="29"/>
      <c r="D464" s="29"/>
      <c r="E464" s="29"/>
      <c r="F464" s="29"/>
      <c r="G464" s="29"/>
      <c r="H464" s="29"/>
      <c r="I464" s="29"/>
    </row>
    <row r="465" customFormat="false" ht="15" hidden="false" customHeight="false" outlineLevel="0" collapsed="false">
      <c r="A465" s="29"/>
      <c r="B465" s="29"/>
      <c r="C465" s="29"/>
      <c r="D465" s="29"/>
      <c r="E465" s="29"/>
      <c r="F465" s="29"/>
      <c r="G465" s="29"/>
      <c r="H465" s="29"/>
      <c r="I465" s="29"/>
    </row>
    <row r="466" customFormat="false" ht="15" hidden="false" customHeight="false" outlineLevel="0" collapsed="false">
      <c r="A466" s="29"/>
      <c r="B466" s="29"/>
      <c r="C466" s="29"/>
      <c r="D466" s="29"/>
      <c r="E466" s="29"/>
      <c r="F466" s="29"/>
      <c r="G466" s="29"/>
      <c r="H466" s="29"/>
      <c r="I466" s="29"/>
    </row>
    <row r="467" customFormat="false" ht="15" hidden="false" customHeight="false" outlineLevel="0" collapsed="false">
      <c r="A467" s="29"/>
      <c r="B467" s="29"/>
      <c r="C467" s="29"/>
      <c r="D467" s="29"/>
      <c r="E467" s="29"/>
      <c r="F467" s="29"/>
      <c r="G467" s="29"/>
      <c r="H467" s="29"/>
      <c r="I467" s="29"/>
    </row>
    <row r="468" customFormat="false" ht="15" hidden="false" customHeight="false" outlineLevel="0" collapsed="false">
      <c r="A468" s="29"/>
      <c r="B468" s="29"/>
      <c r="C468" s="29"/>
      <c r="D468" s="29"/>
      <c r="E468" s="29"/>
      <c r="F468" s="29"/>
      <c r="G468" s="29"/>
      <c r="H468" s="29"/>
      <c r="I468" s="29"/>
    </row>
    <row r="469" customFormat="false" ht="15" hidden="false" customHeight="false" outlineLevel="0" collapsed="false">
      <c r="A469" s="29"/>
      <c r="B469" s="29"/>
      <c r="C469" s="29"/>
      <c r="D469" s="29"/>
      <c r="E469" s="29"/>
      <c r="F469" s="29"/>
      <c r="G469" s="29"/>
      <c r="H469" s="29"/>
      <c r="I469" s="29"/>
    </row>
    <row r="470" customFormat="false" ht="15" hidden="false" customHeight="false" outlineLevel="0" collapsed="false">
      <c r="A470" s="29"/>
      <c r="B470" s="29"/>
      <c r="C470" s="29"/>
      <c r="D470" s="29"/>
      <c r="E470" s="29"/>
      <c r="F470" s="29"/>
      <c r="G470" s="29"/>
      <c r="H470" s="29"/>
      <c r="I470" s="29"/>
    </row>
    <row r="471" customFormat="false" ht="15" hidden="false" customHeight="false" outlineLevel="0" collapsed="false">
      <c r="A471" s="29"/>
      <c r="B471" s="29"/>
      <c r="C471" s="29"/>
      <c r="D471" s="29"/>
      <c r="E471" s="29"/>
      <c r="F471" s="29"/>
      <c r="G471" s="29"/>
      <c r="H471" s="29"/>
      <c r="I471" s="29"/>
    </row>
    <row r="472" customFormat="false" ht="15" hidden="false" customHeight="false" outlineLevel="0" collapsed="false">
      <c r="A472" s="29"/>
      <c r="B472" s="29"/>
      <c r="C472" s="29"/>
      <c r="D472" s="29"/>
      <c r="E472" s="29"/>
      <c r="F472" s="29"/>
      <c r="G472" s="29"/>
      <c r="H472" s="29"/>
      <c r="I472" s="29"/>
    </row>
    <row r="473" customFormat="false" ht="15" hidden="false" customHeight="false" outlineLevel="0" collapsed="false">
      <c r="A473" s="29"/>
      <c r="B473" s="29"/>
      <c r="C473" s="29"/>
      <c r="D473" s="29"/>
      <c r="E473" s="29"/>
      <c r="F473" s="29"/>
      <c r="G473" s="29"/>
      <c r="H473" s="29"/>
      <c r="I473" s="29"/>
    </row>
    <row r="474" customFormat="false" ht="15" hidden="false" customHeight="false" outlineLevel="0" collapsed="false">
      <c r="A474" s="29"/>
      <c r="B474" s="29"/>
      <c r="C474" s="29"/>
      <c r="D474" s="29"/>
      <c r="E474" s="29"/>
      <c r="F474" s="29"/>
      <c r="G474" s="29"/>
      <c r="H474" s="29"/>
      <c r="I474" s="29"/>
    </row>
    <row r="475" customFormat="false" ht="15" hidden="false" customHeight="false" outlineLevel="0" collapsed="false">
      <c r="A475" s="29"/>
      <c r="B475" s="29"/>
      <c r="C475" s="29"/>
      <c r="D475" s="29"/>
      <c r="E475" s="29"/>
      <c r="F475" s="29"/>
      <c r="G475" s="29"/>
      <c r="H475" s="29"/>
      <c r="I475" s="29"/>
    </row>
    <row r="476" customFormat="false" ht="15" hidden="false" customHeight="false" outlineLevel="0" collapsed="false">
      <c r="A476" s="29"/>
      <c r="B476" s="29"/>
      <c r="C476" s="29"/>
      <c r="D476" s="29"/>
      <c r="E476" s="29"/>
      <c r="F476" s="29"/>
      <c r="G476" s="29"/>
      <c r="H476" s="29"/>
      <c r="I476" s="29"/>
    </row>
    <row r="477" customFormat="false" ht="15" hidden="false" customHeight="false" outlineLevel="0" collapsed="false">
      <c r="A477" s="29"/>
      <c r="B477" s="29"/>
      <c r="C477" s="29"/>
      <c r="D477" s="29"/>
      <c r="E477" s="29"/>
      <c r="F477" s="29"/>
      <c r="G477" s="29"/>
      <c r="H477" s="29"/>
      <c r="I477" s="29"/>
    </row>
    <row r="478" customFormat="false" ht="15" hidden="false" customHeight="false" outlineLevel="0" collapsed="false">
      <c r="A478" s="29"/>
      <c r="B478" s="29"/>
      <c r="C478" s="29"/>
      <c r="D478" s="29"/>
      <c r="E478" s="29"/>
      <c r="F478" s="29"/>
      <c r="G478" s="29"/>
      <c r="H478" s="29"/>
      <c r="I478" s="29"/>
    </row>
    <row r="479" customFormat="false" ht="15" hidden="false" customHeight="false" outlineLevel="0" collapsed="false">
      <c r="A479" s="29"/>
      <c r="B479" s="29"/>
      <c r="C479" s="29"/>
      <c r="D479" s="29"/>
      <c r="E479" s="29"/>
      <c r="F479" s="29"/>
      <c r="G479" s="29"/>
      <c r="H479" s="29"/>
      <c r="I479" s="29"/>
    </row>
    <row r="480" customFormat="false" ht="15" hidden="false" customHeight="false" outlineLevel="0" collapsed="false">
      <c r="A480" s="29"/>
      <c r="B480" s="29"/>
      <c r="C480" s="29"/>
      <c r="D480" s="29"/>
      <c r="E480" s="29"/>
      <c r="F480" s="29"/>
      <c r="G480" s="29"/>
      <c r="H480" s="29"/>
      <c r="I480" s="29"/>
    </row>
    <row r="481" customFormat="false" ht="15" hidden="false" customHeight="false" outlineLevel="0" collapsed="false">
      <c r="A481" s="29"/>
      <c r="B481" s="29"/>
      <c r="C481" s="29"/>
      <c r="D481" s="29"/>
      <c r="E481" s="29"/>
      <c r="F481" s="29"/>
      <c r="G481" s="29"/>
      <c r="H481" s="29"/>
      <c r="I481" s="29"/>
    </row>
    <row r="482" customFormat="false" ht="15" hidden="false" customHeight="false" outlineLevel="0" collapsed="false">
      <c r="A482" s="29"/>
      <c r="B482" s="29"/>
      <c r="C482" s="29"/>
      <c r="D482" s="29"/>
      <c r="E482" s="29"/>
      <c r="F482" s="29"/>
      <c r="G482" s="29"/>
      <c r="H482" s="29"/>
      <c r="I482" s="29"/>
    </row>
    <row r="483" customFormat="false" ht="15" hidden="false" customHeight="false" outlineLevel="0" collapsed="false">
      <c r="A483" s="29"/>
      <c r="B483" s="29"/>
      <c r="C483" s="29"/>
      <c r="D483" s="29"/>
      <c r="E483" s="29"/>
      <c r="F483" s="29"/>
      <c r="G483" s="29"/>
      <c r="H483" s="29"/>
      <c r="I483" s="29"/>
    </row>
    <row r="484" customFormat="false" ht="15" hidden="false" customHeight="false" outlineLevel="0" collapsed="false">
      <c r="A484" s="29"/>
      <c r="B484" s="29"/>
      <c r="C484" s="29"/>
      <c r="D484" s="29"/>
      <c r="E484" s="29"/>
      <c r="F484" s="29"/>
      <c r="G484" s="29"/>
      <c r="H484" s="29"/>
      <c r="I484" s="29"/>
    </row>
    <row r="485" customFormat="false" ht="15" hidden="false" customHeight="false" outlineLevel="0" collapsed="false">
      <c r="A485" s="29"/>
      <c r="B485" s="29"/>
      <c r="C485" s="29"/>
      <c r="D485" s="29"/>
      <c r="E485" s="29"/>
      <c r="F485" s="29"/>
      <c r="G485" s="29"/>
      <c r="H485" s="29"/>
      <c r="I485" s="29"/>
    </row>
    <row r="486" customFormat="false" ht="15" hidden="false" customHeight="false" outlineLevel="0" collapsed="false">
      <c r="A486" s="29"/>
      <c r="B486" s="29"/>
      <c r="C486" s="29"/>
      <c r="D486" s="29"/>
      <c r="E486" s="29"/>
      <c r="F486" s="29"/>
      <c r="G486" s="29"/>
      <c r="H486" s="29"/>
      <c r="I486" s="29"/>
    </row>
    <row r="487" customFormat="false" ht="15" hidden="false" customHeight="false" outlineLevel="0" collapsed="false">
      <c r="A487" s="29"/>
      <c r="B487" s="29"/>
      <c r="C487" s="29"/>
      <c r="D487" s="29"/>
      <c r="E487" s="29"/>
      <c r="F487" s="29"/>
      <c r="G487" s="29"/>
      <c r="H487" s="29"/>
      <c r="I487" s="29"/>
    </row>
    <row r="488" customFormat="false" ht="15" hidden="false" customHeight="false" outlineLevel="0" collapsed="false">
      <c r="A488" s="29"/>
      <c r="B488" s="29"/>
      <c r="C488" s="29"/>
      <c r="D488" s="29"/>
      <c r="E488" s="29"/>
      <c r="F488" s="29"/>
      <c r="G488" s="29"/>
      <c r="H488" s="29"/>
      <c r="I488" s="29"/>
    </row>
    <row r="489" customFormat="false" ht="15" hidden="false" customHeight="false" outlineLevel="0" collapsed="false">
      <c r="A489" s="29"/>
      <c r="B489" s="29"/>
      <c r="C489" s="29"/>
      <c r="D489" s="29"/>
      <c r="E489" s="29"/>
      <c r="F489" s="29"/>
      <c r="G489" s="29"/>
      <c r="H489" s="29"/>
      <c r="I489" s="29"/>
    </row>
    <row r="490" customFormat="false" ht="15" hidden="false" customHeight="false" outlineLevel="0" collapsed="false">
      <c r="A490" s="29"/>
      <c r="B490" s="29"/>
      <c r="C490" s="29"/>
      <c r="D490" s="29"/>
      <c r="E490" s="29"/>
      <c r="F490" s="29"/>
      <c r="G490" s="29"/>
      <c r="H490" s="29"/>
      <c r="I490" s="29"/>
    </row>
    <row r="491" customFormat="false" ht="15" hidden="false" customHeight="false" outlineLevel="0" collapsed="false">
      <c r="A491" s="29"/>
      <c r="B491" s="29"/>
      <c r="C491" s="29"/>
      <c r="D491" s="29"/>
      <c r="E491" s="29"/>
      <c r="F491" s="29"/>
      <c r="G491" s="29"/>
      <c r="H491" s="29"/>
      <c r="I491" s="29"/>
    </row>
    <row r="492" customFormat="false" ht="15" hidden="false" customHeight="false" outlineLevel="0" collapsed="false">
      <c r="A492" s="29"/>
      <c r="B492" s="29"/>
      <c r="C492" s="29"/>
      <c r="D492" s="29"/>
      <c r="E492" s="29"/>
      <c r="F492" s="29"/>
      <c r="G492" s="29"/>
      <c r="H492" s="29"/>
      <c r="I492" s="29"/>
    </row>
    <row r="493" customFormat="false" ht="15" hidden="false" customHeight="false" outlineLevel="0" collapsed="false">
      <c r="A493" s="29"/>
      <c r="B493" s="29"/>
      <c r="C493" s="29"/>
      <c r="D493" s="29"/>
      <c r="E493" s="29"/>
      <c r="F493" s="29"/>
      <c r="G493" s="29"/>
      <c r="H493" s="29"/>
      <c r="I493" s="29"/>
    </row>
    <row r="494" customFormat="false" ht="15" hidden="false" customHeight="false" outlineLevel="0" collapsed="false">
      <c r="A494" s="29"/>
      <c r="B494" s="29"/>
      <c r="C494" s="29"/>
      <c r="D494" s="29"/>
      <c r="E494" s="29"/>
      <c r="F494" s="29"/>
      <c r="G494" s="29"/>
      <c r="H494" s="29"/>
      <c r="I494" s="29"/>
    </row>
    <row r="495" customFormat="false" ht="15" hidden="false" customHeight="false" outlineLevel="0" collapsed="false">
      <c r="A495" s="29"/>
      <c r="B495" s="29"/>
      <c r="C495" s="29"/>
      <c r="D495" s="29"/>
      <c r="E495" s="29"/>
      <c r="F495" s="29"/>
      <c r="G495" s="29"/>
      <c r="H495" s="29"/>
      <c r="I495" s="29"/>
    </row>
    <row r="496" customFormat="false" ht="15" hidden="false" customHeight="false" outlineLevel="0" collapsed="false">
      <c r="A496" s="29"/>
      <c r="B496" s="29"/>
      <c r="C496" s="29"/>
      <c r="D496" s="29"/>
      <c r="E496" s="29"/>
      <c r="F496" s="29"/>
      <c r="G496" s="29"/>
      <c r="H496" s="29"/>
      <c r="I496" s="29"/>
    </row>
    <row r="497" customFormat="false" ht="15" hidden="false" customHeight="false" outlineLevel="0" collapsed="false">
      <c r="A497" s="29"/>
      <c r="B497" s="29"/>
      <c r="C497" s="29"/>
      <c r="D497" s="29"/>
      <c r="E497" s="29"/>
      <c r="F497" s="29"/>
      <c r="G497" s="29"/>
      <c r="H497" s="29"/>
      <c r="I497" s="29"/>
    </row>
    <row r="498" customFormat="false" ht="15" hidden="false" customHeight="false" outlineLevel="0" collapsed="false">
      <c r="A498" s="29"/>
      <c r="B498" s="29"/>
      <c r="C498" s="29"/>
      <c r="D498" s="29"/>
      <c r="E498" s="29"/>
      <c r="F498" s="29"/>
      <c r="G498" s="29"/>
      <c r="H498" s="29"/>
      <c r="I498" s="29"/>
    </row>
    <row r="499" customFormat="false" ht="15" hidden="false" customHeight="false" outlineLevel="0" collapsed="false">
      <c r="A499" s="29"/>
      <c r="B499" s="29"/>
      <c r="C499" s="29"/>
      <c r="D499" s="29"/>
      <c r="E499" s="29"/>
      <c r="F499" s="29"/>
      <c r="G499" s="29"/>
      <c r="H499" s="29"/>
      <c r="I499" s="29"/>
    </row>
    <row r="500" customFormat="false" ht="15" hidden="false" customHeight="false" outlineLevel="0" collapsed="false">
      <c r="A500" s="29"/>
      <c r="B500" s="29"/>
      <c r="C500" s="29"/>
      <c r="D500" s="29"/>
      <c r="E500" s="29"/>
      <c r="F500" s="29"/>
      <c r="G500" s="29"/>
      <c r="H500" s="29"/>
      <c r="I500" s="29"/>
    </row>
    <row r="501" customFormat="false" ht="15" hidden="false" customHeight="false" outlineLevel="0" collapsed="false">
      <c r="A501" s="29"/>
      <c r="B501" s="29"/>
      <c r="C501" s="29"/>
      <c r="D501" s="29"/>
      <c r="E501" s="29"/>
      <c r="F501" s="29"/>
      <c r="G501" s="29"/>
      <c r="H501" s="29"/>
      <c r="I501" s="29"/>
    </row>
    <row r="502" customFormat="false" ht="15" hidden="false" customHeight="false" outlineLevel="0" collapsed="false">
      <c r="A502" s="29"/>
      <c r="B502" s="29"/>
      <c r="C502" s="29"/>
      <c r="D502" s="29"/>
      <c r="E502" s="29"/>
      <c r="F502" s="29"/>
      <c r="G502" s="29"/>
      <c r="H502" s="29"/>
      <c r="I502" s="29"/>
    </row>
    <row r="503" customFormat="false" ht="15" hidden="false" customHeight="false" outlineLevel="0" collapsed="false">
      <c r="A503" s="29"/>
      <c r="B503" s="29"/>
      <c r="C503" s="29"/>
      <c r="D503" s="29"/>
      <c r="E503" s="29"/>
      <c r="F503" s="29"/>
      <c r="G503" s="29"/>
      <c r="H503" s="29"/>
      <c r="I503" s="29"/>
    </row>
    <row r="504" customFormat="false" ht="15" hidden="false" customHeight="false" outlineLevel="0" collapsed="false">
      <c r="A504" s="29"/>
      <c r="B504" s="29"/>
      <c r="C504" s="29"/>
      <c r="D504" s="29"/>
      <c r="E504" s="29"/>
      <c r="F504" s="29"/>
      <c r="G504" s="29"/>
      <c r="H504" s="29"/>
      <c r="I504" s="29"/>
    </row>
    <row r="505" customFormat="false" ht="15" hidden="false" customHeight="false" outlineLevel="0" collapsed="false">
      <c r="A505" s="29"/>
      <c r="B505" s="29"/>
      <c r="C505" s="29"/>
      <c r="D505" s="29"/>
      <c r="E505" s="29"/>
      <c r="F505" s="29"/>
      <c r="G505" s="29"/>
      <c r="H505" s="29"/>
      <c r="I505" s="29"/>
    </row>
    <row r="506" customFormat="false" ht="15" hidden="false" customHeight="false" outlineLevel="0" collapsed="false">
      <c r="A506" s="29"/>
      <c r="B506" s="29"/>
      <c r="C506" s="29"/>
      <c r="D506" s="29"/>
      <c r="E506" s="29"/>
      <c r="F506" s="29"/>
      <c r="G506" s="29"/>
      <c r="H506" s="29"/>
      <c r="I506" s="29"/>
    </row>
    <row r="507" customFormat="false" ht="15" hidden="false" customHeight="false" outlineLevel="0" collapsed="false">
      <c r="A507" s="29"/>
      <c r="B507" s="29"/>
      <c r="C507" s="29"/>
      <c r="D507" s="29"/>
      <c r="E507" s="29"/>
      <c r="F507" s="29"/>
      <c r="G507" s="29"/>
      <c r="H507" s="29"/>
      <c r="I507" s="29"/>
    </row>
    <row r="508" customFormat="false" ht="15" hidden="false" customHeight="false" outlineLevel="0" collapsed="false">
      <c r="A508" s="29"/>
      <c r="B508" s="29"/>
      <c r="C508" s="29"/>
      <c r="D508" s="29"/>
      <c r="E508" s="29"/>
      <c r="F508" s="29"/>
      <c r="G508" s="29"/>
      <c r="H508" s="29"/>
      <c r="I508" s="29"/>
    </row>
    <row r="509" customFormat="false" ht="15" hidden="false" customHeight="false" outlineLevel="0" collapsed="false">
      <c r="A509" s="29"/>
      <c r="B509" s="29"/>
      <c r="C509" s="29"/>
      <c r="D509" s="29"/>
      <c r="E509" s="29"/>
      <c r="F509" s="29"/>
      <c r="G509" s="29"/>
      <c r="H509" s="29"/>
      <c r="I509" s="29"/>
    </row>
    <row r="510" customFormat="false" ht="15" hidden="false" customHeight="false" outlineLevel="0" collapsed="false">
      <c r="A510" s="29"/>
      <c r="B510" s="29"/>
      <c r="C510" s="29"/>
      <c r="D510" s="29"/>
      <c r="E510" s="29"/>
      <c r="F510" s="29"/>
      <c r="G510" s="29"/>
      <c r="H510" s="29"/>
      <c r="I510" s="29"/>
    </row>
    <row r="511" customFormat="false" ht="15" hidden="false" customHeight="false" outlineLevel="0" collapsed="false">
      <c r="A511" s="29"/>
      <c r="B511" s="29"/>
      <c r="C511" s="29"/>
      <c r="D511" s="29"/>
      <c r="E511" s="29"/>
      <c r="F511" s="29"/>
      <c r="G511" s="29"/>
      <c r="H511" s="29"/>
      <c r="I511" s="29"/>
    </row>
    <row r="512" customFormat="false" ht="15" hidden="false" customHeight="false" outlineLevel="0" collapsed="false">
      <c r="A512" s="29"/>
      <c r="B512" s="29"/>
      <c r="C512" s="29"/>
      <c r="D512" s="29"/>
      <c r="E512" s="29"/>
      <c r="F512" s="29"/>
      <c r="G512" s="29"/>
      <c r="H512" s="29"/>
      <c r="I512" s="29"/>
    </row>
    <row r="513" customFormat="false" ht="15" hidden="false" customHeight="false" outlineLevel="0" collapsed="false">
      <c r="A513" s="29"/>
      <c r="B513" s="29"/>
      <c r="C513" s="29"/>
      <c r="D513" s="29"/>
      <c r="E513" s="29"/>
      <c r="F513" s="29"/>
      <c r="G513" s="29"/>
      <c r="H513" s="29"/>
      <c r="I513" s="29"/>
    </row>
    <row r="514" customFormat="false" ht="15" hidden="false" customHeight="false" outlineLevel="0" collapsed="false">
      <c r="A514" s="29"/>
      <c r="B514" s="29"/>
      <c r="C514" s="29"/>
      <c r="D514" s="29"/>
      <c r="E514" s="29"/>
      <c r="F514" s="29"/>
      <c r="G514" s="29"/>
      <c r="H514" s="29"/>
      <c r="I514" s="29"/>
    </row>
    <row r="515" customFormat="false" ht="15" hidden="false" customHeight="false" outlineLevel="0" collapsed="false">
      <c r="A515" s="29"/>
      <c r="B515" s="29"/>
      <c r="C515" s="29"/>
      <c r="D515" s="29"/>
      <c r="E515" s="29"/>
      <c r="F515" s="29"/>
      <c r="G515" s="29"/>
      <c r="H515" s="29"/>
      <c r="I515" s="29"/>
    </row>
    <row r="516" customFormat="false" ht="15" hidden="false" customHeight="false" outlineLevel="0" collapsed="false">
      <c r="A516" s="29"/>
      <c r="B516" s="29"/>
      <c r="C516" s="29"/>
      <c r="D516" s="29"/>
      <c r="E516" s="29"/>
      <c r="F516" s="29"/>
      <c r="G516" s="29"/>
      <c r="H516" s="29"/>
      <c r="I516" s="29"/>
    </row>
    <row r="517" customFormat="false" ht="15" hidden="false" customHeight="false" outlineLevel="0" collapsed="false">
      <c r="A517" s="29"/>
      <c r="B517" s="29"/>
      <c r="C517" s="29"/>
      <c r="D517" s="29"/>
      <c r="E517" s="29"/>
      <c r="F517" s="29"/>
      <c r="G517" s="29"/>
      <c r="H517" s="29"/>
      <c r="I517" s="29"/>
    </row>
    <row r="518" customFormat="false" ht="15" hidden="false" customHeight="false" outlineLevel="0" collapsed="false">
      <c r="A518" s="29"/>
      <c r="B518" s="29"/>
      <c r="C518" s="29"/>
      <c r="D518" s="29"/>
      <c r="E518" s="29"/>
      <c r="F518" s="29"/>
      <c r="G518" s="29"/>
      <c r="H518" s="29"/>
      <c r="I518" s="29"/>
    </row>
    <row r="519" customFormat="false" ht="15" hidden="false" customHeight="false" outlineLevel="0" collapsed="false">
      <c r="A519" s="29"/>
      <c r="B519" s="29"/>
      <c r="C519" s="29"/>
      <c r="D519" s="29"/>
      <c r="E519" s="29"/>
      <c r="F519" s="29"/>
      <c r="G519" s="29"/>
      <c r="H519" s="29"/>
      <c r="I519" s="29"/>
    </row>
    <row r="520" customFormat="false" ht="15" hidden="false" customHeight="false" outlineLevel="0" collapsed="false">
      <c r="A520" s="29"/>
      <c r="B520" s="29"/>
      <c r="C520" s="29"/>
      <c r="D520" s="29"/>
      <c r="E520" s="29"/>
      <c r="F520" s="29"/>
      <c r="G520" s="29"/>
      <c r="H520" s="29"/>
      <c r="I520" s="29"/>
    </row>
    <row r="521" customFormat="false" ht="15" hidden="false" customHeight="false" outlineLevel="0" collapsed="false">
      <c r="A521" s="29"/>
      <c r="B521" s="29"/>
      <c r="C521" s="29"/>
      <c r="D521" s="29"/>
      <c r="E521" s="29"/>
      <c r="F521" s="29"/>
      <c r="G521" s="29"/>
      <c r="H521" s="29"/>
      <c r="I521" s="29"/>
    </row>
    <row r="522" customFormat="false" ht="15" hidden="false" customHeight="false" outlineLevel="0" collapsed="false">
      <c r="A522" s="29"/>
      <c r="B522" s="29"/>
      <c r="C522" s="29"/>
      <c r="D522" s="29"/>
      <c r="E522" s="29"/>
      <c r="F522" s="29"/>
      <c r="G522" s="29"/>
      <c r="H522" s="29"/>
      <c r="I522" s="29"/>
    </row>
    <row r="523" customFormat="false" ht="15" hidden="false" customHeight="false" outlineLevel="0" collapsed="false">
      <c r="A523" s="29"/>
      <c r="B523" s="29"/>
      <c r="C523" s="29"/>
      <c r="D523" s="29"/>
      <c r="E523" s="29"/>
      <c r="F523" s="29"/>
      <c r="G523" s="29"/>
      <c r="H523" s="29"/>
      <c r="I523" s="29"/>
    </row>
    <row r="524" customFormat="false" ht="15" hidden="false" customHeight="false" outlineLevel="0" collapsed="false">
      <c r="A524" s="29"/>
      <c r="B524" s="29"/>
      <c r="C524" s="29"/>
      <c r="D524" s="29"/>
      <c r="E524" s="29"/>
      <c r="F524" s="29"/>
      <c r="G524" s="29"/>
      <c r="H524" s="29"/>
      <c r="I524" s="29"/>
    </row>
    <row r="525" customFormat="false" ht="15" hidden="false" customHeight="false" outlineLevel="0" collapsed="false">
      <c r="A525" s="29"/>
      <c r="B525" s="29"/>
      <c r="C525" s="29"/>
      <c r="D525" s="29"/>
      <c r="E525" s="29"/>
      <c r="F525" s="29"/>
      <c r="G525" s="29"/>
      <c r="H525" s="29"/>
      <c r="I525" s="29"/>
    </row>
    <row r="526" customFormat="false" ht="15" hidden="false" customHeight="false" outlineLevel="0" collapsed="false">
      <c r="A526" s="29"/>
      <c r="B526" s="29"/>
      <c r="C526" s="29"/>
      <c r="D526" s="29"/>
      <c r="E526" s="29"/>
      <c r="F526" s="29"/>
      <c r="G526" s="29"/>
      <c r="H526" s="29"/>
      <c r="I526" s="29"/>
    </row>
    <row r="527" customFormat="false" ht="15" hidden="false" customHeight="false" outlineLevel="0" collapsed="false">
      <c r="A527" s="29"/>
      <c r="B527" s="29"/>
      <c r="C527" s="29"/>
      <c r="D527" s="29"/>
      <c r="E527" s="29"/>
      <c r="F527" s="29"/>
      <c r="G527" s="29"/>
      <c r="H527" s="29"/>
      <c r="I527" s="29"/>
    </row>
    <row r="528" customFormat="false" ht="15" hidden="false" customHeight="false" outlineLevel="0" collapsed="false">
      <c r="A528" s="29"/>
      <c r="B528" s="29"/>
      <c r="C528" s="29"/>
      <c r="D528" s="29"/>
      <c r="E528" s="29"/>
      <c r="F528" s="29"/>
      <c r="G528" s="29"/>
      <c r="H528" s="29"/>
      <c r="I528" s="29"/>
    </row>
    <row r="529" customFormat="false" ht="15" hidden="false" customHeight="false" outlineLevel="0" collapsed="false">
      <c r="A529" s="29"/>
      <c r="B529" s="29"/>
      <c r="C529" s="29"/>
      <c r="D529" s="29"/>
      <c r="E529" s="29"/>
      <c r="F529" s="29"/>
      <c r="G529" s="29"/>
      <c r="H529" s="29"/>
      <c r="I529" s="29"/>
    </row>
    <row r="530" customFormat="false" ht="15" hidden="false" customHeight="false" outlineLevel="0" collapsed="false">
      <c r="A530" s="29"/>
      <c r="B530" s="29"/>
      <c r="C530" s="29"/>
      <c r="D530" s="29"/>
      <c r="E530" s="29"/>
      <c r="F530" s="29"/>
      <c r="G530" s="29"/>
      <c r="H530" s="29"/>
      <c r="I530" s="29"/>
    </row>
    <row r="531" customFormat="false" ht="15" hidden="false" customHeight="false" outlineLevel="0" collapsed="false">
      <c r="A531" s="29"/>
      <c r="B531" s="29"/>
      <c r="C531" s="29"/>
      <c r="D531" s="29"/>
      <c r="E531" s="29"/>
      <c r="F531" s="29"/>
      <c r="G531" s="29"/>
      <c r="H531" s="29"/>
      <c r="I531" s="29"/>
    </row>
    <row r="532" customFormat="false" ht="15" hidden="false" customHeight="false" outlineLevel="0" collapsed="false">
      <c r="A532" s="29"/>
      <c r="B532" s="29"/>
      <c r="C532" s="29"/>
      <c r="D532" s="29"/>
      <c r="E532" s="29"/>
      <c r="F532" s="29"/>
      <c r="G532" s="29"/>
      <c r="H532" s="29"/>
      <c r="I532" s="29"/>
    </row>
    <row r="533" customFormat="false" ht="15" hidden="false" customHeight="false" outlineLevel="0" collapsed="false">
      <c r="A533" s="29"/>
      <c r="B533" s="29"/>
      <c r="C533" s="29"/>
      <c r="D533" s="29"/>
      <c r="E533" s="29"/>
      <c r="F533" s="29"/>
      <c r="G533" s="29"/>
      <c r="H533" s="29"/>
      <c r="I533" s="29"/>
    </row>
    <row r="534" customFormat="false" ht="15" hidden="false" customHeight="false" outlineLevel="0" collapsed="false">
      <c r="A534" s="29"/>
      <c r="B534" s="29"/>
      <c r="C534" s="29"/>
      <c r="D534" s="29"/>
      <c r="E534" s="29"/>
      <c r="F534" s="29"/>
      <c r="G534" s="29"/>
      <c r="H534" s="29"/>
      <c r="I534" s="29"/>
    </row>
    <row r="535" customFormat="false" ht="15" hidden="false" customHeight="false" outlineLevel="0" collapsed="false">
      <c r="A535" s="29"/>
      <c r="B535" s="29"/>
      <c r="C535" s="29"/>
      <c r="D535" s="29"/>
      <c r="E535" s="29"/>
      <c r="F535" s="29"/>
      <c r="G535" s="29"/>
      <c r="H535" s="29"/>
      <c r="I535" s="29"/>
    </row>
    <row r="536" customFormat="false" ht="15" hidden="false" customHeight="false" outlineLevel="0" collapsed="false">
      <c r="A536" s="29"/>
      <c r="B536" s="29"/>
      <c r="C536" s="29"/>
      <c r="D536" s="29"/>
      <c r="E536" s="29"/>
      <c r="F536" s="29"/>
      <c r="G536" s="29"/>
      <c r="H536" s="29"/>
      <c r="I536" s="29"/>
    </row>
    <row r="537" customFormat="false" ht="15" hidden="false" customHeight="false" outlineLevel="0" collapsed="false">
      <c r="A537" s="29"/>
      <c r="B537" s="29"/>
      <c r="C537" s="29"/>
      <c r="D537" s="29"/>
      <c r="E537" s="29"/>
      <c r="F537" s="29"/>
      <c r="G537" s="29"/>
      <c r="H537" s="29"/>
      <c r="I537" s="29"/>
    </row>
    <row r="538" customFormat="false" ht="15" hidden="false" customHeight="false" outlineLevel="0" collapsed="false">
      <c r="A538" s="29"/>
      <c r="B538" s="29"/>
      <c r="C538" s="29"/>
      <c r="D538" s="29"/>
      <c r="E538" s="29"/>
      <c r="F538" s="29"/>
      <c r="G538" s="29"/>
      <c r="H538" s="29"/>
      <c r="I538" s="29"/>
    </row>
    <row r="539" customFormat="false" ht="15" hidden="false" customHeight="false" outlineLevel="0" collapsed="false">
      <c r="A539" s="29"/>
      <c r="B539" s="29"/>
      <c r="C539" s="29"/>
      <c r="D539" s="29"/>
      <c r="E539" s="29"/>
      <c r="F539" s="29"/>
      <c r="G539" s="29"/>
      <c r="H539" s="29"/>
      <c r="I539" s="29"/>
    </row>
    <row r="540" customFormat="false" ht="15" hidden="false" customHeight="false" outlineLevel="0" collapsed="false">
      <c r="A540" s="29"/>
      <c r="B540" s="29"/>
      <c r="C540" s="29"/>
      <c r="D540" s="29"/>
      <c r="E540" s="29"/>
      <c r="F540" s="29"/>
      <c r="G540" s="29"/>
      <c r="H540" s="29"/>
      <c r="I540" s="29"/>
    </row>
    <row r="541" customFormat="false" ht="15" hidden="false" customHeight="false" outlineLevel="0" collapsed="false">
      <c r="A541" s="29"/>
      <c r="B541" s="29"/>
      <c r="C541" s="29"/>
      <c r="D541" s="29"/>
      <c r="E541" s="29"/>
      <c r="F541" s="29"/>
      <c r="G541" s="29"/>
      <c r="H541" s="29"/>
      <c r="I541" s="29"/>
    </row>
    <row r="542" customFormat="false" ht="15" hidden="false" customHeight="false" outlineLevel="0" collapsed="false">
      <c r="A542" s="29"/>
      <c r="B542" s="29"/>
      <c r="C542" s="29"/>
      <c r="D542" s="29"/>
      <c r="E542" s="29"/>
      <c r="F542" s="29"/>
      <c r="G542" s="29"/>
      <c r="H542" s="29"/>
      <c r="I542" s="29"/>
    </row>
    <row r="543" customFormat="false" ht="15" hidden="false" customHeight="false" outlineLevel="0" collapsed="false">
      <c r="A543" s="29"/>
      <c r="B543" s="29"/>
      <c r="C543" s="29"/>
      <c r="D543" s="29"/>
      <c r="E543" s="29"/>
      <c r="F543" s="29"/>
      <c r="G543" s="29"/>
      <c r="H543" s="29"/>
      <c r="I543" s="29"/>
    </row>
    <row r="544" customFormat="false" ht="15" hidden="false" customHeight="false" outlineLevel="0" collapsed="false">
      <c r="A544" s="29"/>
      <c r="B544" s="29"/>
      <c r="C544" s="29"/>
      <c r="D544" s="29"/>
      <c r="E544" s="29"/>
      <c r="F544" s="29"/>
      <c r="G544" s="29"/>
      <c r="H544" s="29"/>
      <c r="I544" s="29"/>
    </row>
    <row r="545" customFormat="false" ht="15" hidden="false" customHeight="false" outlineLevel="0" collapsed="false">
      <c r="A545" s="29"/>
      <c r="B545" s="29"/>
      <c r="C545" s="29"/>
      <c r="D545" s="29"/>
      <c r="E545" s="29"/>
      <c r="F545" s="29"/>
      <c r="G545" s="29"/>
      <c r="H545" s="29"/>
      <c r="I545" s="29"/>
    </row>
    <row r="546" customFormat="false" ht="15" hidden="false" customHeight="false" outlineLevel="0" collapsed="false">
      <c r="A546" s="29"/>
      <c r="B546" s="29"/>
      <c r="C546" s="29"/>
      <c r="D546" s="29"/>
      <c r="E546" s="29"/>
      <c r="F546" s="29"/>
      <c r="G546" s="29"/>
      <c r="H546" s="29"/>
      <c r="I546" s="29"/>
    </row>
    <row r="547" customFormat="false" ht="15" hidden="false" customHeight="false" outlineLevel="0" collapsed="false">
      <c r="A547" s="29"/>
      <c r="B547" s="29"/>
      <c r="C547" s="29"/>
      <c r="D547" s="29"/>
      <c r="E547" s="29"/>
      <c r="F547" s="29"/>
      <c r="G547" s="29"/>
      <c r="H547" s="29"/>
      <c r="I547" s="29"/>
    </row>
    <row r="548" customFormat="false" ht="15" hidden="false" customHeight="false" outlineLevel="0" collapsed="false">
      <c r="A548" s="29"/>
      <c r="B548" s="29"/>
      <c r="C548" s="29"/>
      <c r="D548" s="29"/>
      <c r="E548" s="29"/>
      <c r="F548" s="29"/>
      <c r="G548" s="29"/>
      <c r="H548" s="29"/>
      <c r="I548" s="29"/>
    </row>
    <row r="549" customFormat="false" ht="15" hidden="false" customHeight="false" outlineLevel="0" collapsed="false">
      <c r="A549" s="29"/>
      <c r="B549" s="29"/>
      <c r="C549" s="29"/>
      <c r="D549" s="29"/>
      <c r="E549" s="29"/>
      <c r="F549" s="29"/>
      <c r="G549" s="29"/>
      <c r="H549" s="29"/>
      <c r="I549" s="29"/>
    </row>
    <row r="550" customFormat="false" ht="15" hidden="false" customHeight="false" outlineLevel="0" collapsed="false">
      <c r="A550" s="29"/>
      <c r="B550" s="29"/>
      <c r="C550" s="29"/>
      <c r="D550" s="29"/>
      <c r="E550" s="29"/>
      <c r="F550" s="29"/>
      <c r="G550" s="29"/>
      <c r="H550" s="29"/>
      <c r="I550" s="29"/>
    </row>
    <row r="551" customFormat="false" ht="15" hidden="false" customHeight="false" outlineLevel="0" collapsed="false">
      <c r="A551" s="29"/>
      <c r="B551" s="29"/>
      <c r="C551" s="29"/>
      <c r="D551" s="29"/>
      <c r="E551" s="29"/>
      <c r="F551" s="29"/>
      <c r="G551" s="29"/>
      <c r="H551" s="29"/>
      <c r="I551" s="29"/>
    </row>
    <row r="552" customFormat="false" ht="15" hidden="false" customHeight="false" outlineLevel="0" collapsed="false">
      <c r="A552" s="29"/>
      <c r="B552" s="29"/>
      <c r="C552" s="29"/>
      <c r="D552" s="29"/>
      <c r="E552" s="29"/>
      <c r="F552" s="29"/>
      <c r="G552" s="29"/>
      <c r="H552" s="29"/>
      <c r="I552" s="29"/>
    </row>
    <row r="553" customFormat="false" ht="15" hidden="false" customHeight="false" outlineLevel="0" collapsed="false">
      <c r="A553" s="29"/>
      <c r="B553" s="29"/>
      <c r="C553" s="29"/>
      <c r="D553" s="29"/>
      <c r="E553" s="29"/>
      <c r="F553" s="29"/>
      <c r="G553" s="29"/>
      <c r="H553" s="29"/>
      <c r="I553" s="29"/>
    </row>
    <row r="554" customFormat="false" ht="15" hidden="false" customHeight="false" outlineLevel="0" collapsed="false">
      <c r="A554" s="29"/>
      <c r="B554" s="29"/>
      <c r="C554" s="29"/>
      <c r="D554" s="29"/>
      <c r="E554" s="29"/>
      <c r="F554" s="29"/>
      <c r="G554" s="29"/>
      <c r="H554" s="29"/>
      <c r="I554" s="29"/>
    </row>
    <row r="555" customFormat="false" ht="15" hidden="false" customHeight="false" outlineLevel="0" collapsed="false">
      <c r="A555" s="29"/>
      <c r="B555" s="29"/>
      <c r="C555" s="29"/>
      <c r="D555" s="29"/>
      <c r="E555" s="29"/>
      <c r="F555" s="29"/>
      <c r="G555" s="29"/>
      <c r="H555" s="29"/>
      <c r="I555" s="29"/>
    </row>
    <row r="556" customFormat="false" ht="15" hidden="false" customHeight="false" outlineLevel="0" collapsed="false">
      <c r="A556" s="29"/>
      <c r="B556" s="29"/>
      <c r="C556" s="29"/>
      <c r="D556" s="29"/>
      <c r="E556" s="29"/>
      <c r="F556" s="29"/>
      <c r="G556" s="29"/>
      <c r="H556" s="29"/>
      <c r="I556" s="29"/>
    </row>
    <row r="557" customFormat="false" ht="15" hidden="false" customHeight="false" outlineLevel="0" collapsed="false">
      <c r="A557" s="29"/>
      <c r="B557" s="29"/>
      <c r="C557" s="29"/>
      <c r="D557" s="29"/>
      <c r="E557" s="29"/>
      <c r="F557" s="29"/>
      <c r="G557" s="29"/>
      <c r="H557" s="29"/>
      <c r="I557" s="29"/>
    </row>
    <row r="558" customFormat="false" ht="15" hidden="false" customHeight="false" outlineLevel="0" collapsed="false">
      <c r="A558" s="29"/>
      <c r="B558" s="29"/>
      <c r="C558" s="29"/>
      <c r="D558" s="29"/>
      <c r="E558" s="29"/>
      <c r="F558" s="29"/>
      <c r="G558" s="29"/>
      <c r="H558" s="29"/>
      <c r="I558" s="29"/>
    </row>
    <row r="559" customFormat="false" ht="15" hidden="false" customHeight="false" outlineLevel="0" collapsed="false">
      <c r="A559" s="29"/>
      <c r="B559" s="29"/>
      <c r="C559" s="29"/>
      <c r="D559" s="29"/>
      <c r="E559" s="29"/>
      <c r="F559" s="29"/>
      <c r="G559" s="29"/>
      <c r="H559" s="29"/>
      <c r="I559" s="29"/>
    </row>
    <row r="560" customFormat="false" ht="15" hidden="false" customHeight="false" outlineLevel="0" collapsed="false">
      <c r="A560" s="29"/>
      <c r="B560" s="29"/>
      <c r="C560" s="29"/>
      <c r="D560" s="29"/>
      <c r="E560" s="29"/>
      <c r="F560" s="29"/>
      <c r="G560" s="29"/>
      <c r="H560" s="29"/>
      <c r="I560" s="29"/>
    </row>
    <row r="561" customFormat="false" ht="15" hidden="false" customHeight="false" outlineLevel="0" collapsed="false">
      <c r="A561" s="29"/>
      <c r="B561" s="29"/>
      <c r="C561" s="29"/>
      <c r="D561" s="29"/>
      <c r="E561" s="29"/>
      <c r="F561" s="29"/>
      <c r="G561" s="29"/>
      <c r="H561" s="29"/>
      <c r="I561" s="29"/>
    </row>
    <row r="562" customFormat="false" ht="15" hidden="false" customHeight="false" outlineLevel="0" collapsed="false">
      <c r="A562" s="29"/>
      <c r="B562" s="29"/>
      <c r="C562" s="29"/>
      <c r="D562" s="29"/>
      <c r="E562" s="29"/>
      <c r="F562" s="29"/>
      <c r="G562" s="29"/>
      <c r="H562" s="29"/>
      <c r="I562" s="29"/>
    </row>
    <row r="563" customFormat="false" ht="15" hidden="false" customHeight="false" outlineLevel="0" collapsed="false">
      <c r="A563" s="29"/>
      <c r="B563" s="29"/>
      <c r="C563" s="29"/>
      <c r="D563" s="29"/>
      <c r="E563" s="29"/>
      <c r="F563" s="29"/>
      <c r="G563" s="29"/>
      <c r="H563" s="29"/>
      <c r="I563" s="29"/>
    </row>
    <row r="564" customFormat="false" ht="15" hidden="false" customHeight="false" outlineLevel="0" collapsed="false">
      <c r="A564" s="29"/>
      <c r="B564" s="29"/>
      <c r="C564" s="29"/>
      <c r="D564" s="29"/>
      <c r="E564" s="29"/>
      <c r="F564" s="29"/>
      <c r="G564" s="29"/>
      <c r="H564" s="29"/>
      <c r="I564" s="29"/>
    </row>
    <row r="565" customFormat="false" ht="15" hidden="false" customHeight="false" outlineLevel="0" collapsed="false">
      <c r="A565" s="29"/>
      <c r="B565" s="29"/>
      <c r="C565" s="29"/>
      <c r="D565" s="29"/>
      <c r="E565" s="29"/>
      <c r="F565" s="29"/>
      <c r="G565" s="29"/>
      <c r="H565" s="29"/>
      <c r="I565" s="29"/>
    </row>
    <row r="566" customFormat="false" ht="15" hidden="false" customHeight="false" outlineLevel="0" collapsed="false">
      <c r="A566" s="29"/>
      <c r="B566" s="29"/>
      <c r="C566" s="29"/>
      <c r="D566" s="29"/>
      <c r="E566" s="29"/>
      <c r="F566" s="29"/>
      <c r="G566" s="29"/>
      <c r="H566" s="29"/>
      <c r="I566" s="29"/>
    </row>
    <row r="567" customFormat="false" ht="15" hidden="false" customHeight="false" outlineLevel="0" collapsed="false">
      <c r="A567" s="29"/>
      <c r="B567" s="29"/>
      <c r="C567" s="29"/>
      <c r="D567" s="29"/>
      <c r="E567" s="29"/>
      <c r="F567" s="29"/>
      <c r="G567" s="29"/>
      <c r="H567" s="29"/>
      <c r="I567" s="29"/>
    </row>
    <row r="568" customFormat="false" ht="15" hidden="false" customHeight="false" outlineLevel="0" collapsed="false">
      <c r="A568" s="29"/>
      <c r="B568" s="29"/>
      <c r="C568" s="29"/>
      <c r="D568" s="29"/>
      <c r="E568" s="29"/>
      <c r="F568" s="29"/>
      <c r="G568" s="29"/>
      <c r="H568" s="29"/>
      <c r="I568" s="29"/>
    </row>
    <row r="569" customFormat="false" ht="15" hidden="false" customHeight="false" outlineLevel="0" collapsed="false">
      <c r="A569" s="29"/>
      <c r="B569" s="29"/>
      <c r="C569" s="29"/>
      <c r="D569" s="29"/>
      <c r="E569" s="29"/>
      <c r="F569" s="29"/>
      <c r="G569" s="29"/>
      <c r="H569" s="29"/>
      <c r="I569" s="29"/>
    </row>
    <row r="570" customFormat="false" ht="15" hidden="false" customHeight="false" outlineLevel="0" collapsed="false">
      <c r="A570" s="29"/>
      <c r="B570" s="29"/>
      <c r="C570" s="29"/>
      <c r="D570" s="29"/>
      <c r="E570" s="29"/>
      <c r="F570" s="29"/>
      <c r="G570" s="29"/>
      <c r="H570" s="29"/>
      <c r="I570" s="29"/>
    </row>
    <row r="571" customFormat="false" ht="15" hidden="false" customHeight="false" outlineLevel="0" collapsed="false">
      <c r="A571" s="29"/>
      <c r="B571" s="29"/>
      <c r="C571" s="29"/>
      <c r="D571" s="29"/>
      <c r="E571" s="29"/>
      <c r="F571" s="29"/>
      <c r="G571" s="29"/>
      <c r="H571" s="29"/>
      <c r="I571" s="29"/>
    </row>
    <row r="572" customFormat="false" ht="15" hidden="false" customHeight="false" outlineLevel="0" collapsed="false">
      <c r="A572" s="29"/>
      <c r="B572" s="29"/>
      <c r="C572" s="29"/>
      <c r="D572" s="29"/>
      <c r="E572" s="29"/>
      <c r="F572" s="29"/>
      <c r="G572" s="29"/>
      <c r="H572" s="29"/>
      <c r="I572" s="29"/>
    </row>
    <row r="573" customFormat="false" ht="15" hidden="false" customHeight="false" outlineLevel="0" collapsed="false">
      <c r="A573" s="29"/>
      <c r="B573" s="29"/>
      <c r="C573" s="29"/>
      <c r="D573" s="29"/>
      <c r="E573" s="29"/>
      <c r="F573" s="29"/>
      <c r="G573" s="29"/>
      <c r="H573" s="29"/>
      <c r="I573" s="29"/>
    </row>
    <row r="574" customFormat="false" ht="15" hidden="false" customHeight="false" outlineLevel="0" collapsed="false">
      <c r="A574" s="29"/>
      <c r="B574" s="29"/>
      <c r="C574" s="29"/>
      <c r="D574" s="29"/>
      <c r="E574" s="29"/>
      <c r="F574" s="29"/>
      <c r="G574" s="29"/>
      <c r="H574" s="29"/>
      <c r="I574" s="29"/>
    </row>
    <row r="575" customFormat="false" ht="15" hidden="false" customHeight="false" outlineLevel="0" collapsed="false">
      <c r="A575" s="29"/>
      <c r="B575" s="29"/>
      <c r="C575" s="29"/>
      <c r="D575" s="29"/>
      <c r="E575" s="29"/>
      <c r="F575" s="29"/>
      <c r="G575" s="29"/>
      <c r="H575" s="29"/>
      <c r="I575" s="29"/>
    </row>
    <row r="576" customFormat="false" ht="15" hidden="false" customHeight="false" outlineLevel="0" collapsed="false">
      <c r="A576" s="29"/>
      <c r="B576" s="29"/>
      <c r="C576" s="29"/>
      <c r="D576" s="29"/>
      <c r="E576" s="29"/>
      <c r="F576" s="29"/>
      <c r="G576" s="29"/>
      <c r="H576" s="29"/>
      <c r="I576" s="29"/>
    </row>
    <row r="577" customFormat="false" ht="15" hidden="false" customHeight="false" outlineLevel="0" collapsed="false">
      <c r="A577" s="29"/>
      <c r="B577" s="29"/>
      <c r="C577" s="29"/>
      <c r="D577" s="29"/>
      <c r="E577" s="29"/>
      <c r="F577" s="29"/>
      <c r="G577" s="29"/>
      <c r="H577" s="29"/>
      <c r="I577" s="29"/>
    </row>
    <row r="578" customFormat="false" ht="15" hidden="false" customHeight="false" outlineLevel="0" collapsed="false">
      <c r="A578" s="29"/>
      <c r="B578" s="29"/>
      <c r="C578" s="29"/>
      <c r="D578" s="29"/>
      <c r="E578" s="29"/>
      <c r="F578" s="29"/>
      <c r="G578" s="29"/>
      <c r="H578" s="29"/>
      <c r="I578" s="29"/>
    </row>
    <row r="579" customFormat="false" ht="15" hidden="false" customHeight="false" outlineLevel="0" collapsed="false">
      <c r="A579" s="29"/>
      <c r="B579" s="29"/>
      <c r="C579" s="29"/>
      <c r="D579" s="29"/>
      <c r="E579" s="29"/>
      <c r="F579" s="29"/>
      <c r="G579" s="29"/>
      <c r="H579" s="29"/>
      <c r="I579" s="29"/>
    </row>
    <row r="580" customFormat="false" ht="15" hidden="false" customHeight="false" outlineLevel="0" collapsed="false">
      <c r="A580" s="29"/>
      <c r="B580" s="29"/>
      <c r="C580" s="29"/>
      <c r="D580" s="29"/>
      <c r="E580" s="29"/>
      <c r="F580" s="29"/>
      <c r="G580" s="29"/>
      <c r="H580" s="29"/>
      <c r="I580" s="29"/>
    </row>
    <row r="581" customFormat="false" ht="15" hidden="false" customHeight="false" outlineLevel="0" collapsed="false">
      <c r="A581" s="29"/>
      <c r="B581" s="29"/>
      <c r="C581" s="29"/>
      <c r="D581" s="29"/>
      <c r="E581" s="29"/>
      <c r="F581" s="29"/>
      <c r="G581" s="29"/>
      <c r="H581" s="29"/>
      <c r="I581" s="29"/>
    </row>
    <row r="582" customFormat="false" ht="15" hidden="false" customHeight="false" outlineLevel="0" collapsed="false">
      <c r="A582" s="29"/>
      <c r="B582" s="29"/>
      <c r="C582" s="29"/>
      <c r="D582" s="29"/>
      <c r="E582" s="29"/>
      <c r="F582" s="29"/>
      <c r="G582" s="29"/>
      <c r="H582" s="29"/>
      <c r="I582" s="29"/>
    </row>
    <row r="583" customFormat="false" ht="15" hidden="false" customHeight="false" outlineLevel="0" collapsed="false">
      <c r="A583" s="29"/>
      <c r="B583" s="29"/>
      <c r="C583" s="29"/>
      <c r="D583" s="29"/>
      <c r="E583" s="29"/>
      <c r="F583" s="29"/>
      <c r="G583" s="29"/>
      <c r="H583" s="29"/>
      <c r="I583" s="29"/>
    </row>
    <row r="584" customFormat="false" ht="15" hidden="false" customHeight="false" outlineLevel="0" collapsed="false">
      <c r="A584" s="29"/>
      <c r="B584" s="29"/>
      <c r="C584" s="29"/>
      <c r="D584" s="29"/>
      <c r="E584" s="29"/>
      <c r="F584" s="29"/>
      <c r="G584" s="29"/>
      <c r="H584" s="29"/>
      <c r="I584" s="29"/>
    </row>
    <row r="585" customFormat="false" ht="15" hidden="false" customHeight="false" outlineLevel="0" collapsed="false">
      <c r="A585" s="29"/>
      <c r="B585" s="29"/>
      <c r="C585" s="29"/>
      <c r="D585" s="29"/>
      <c r="E585" s="29"/>
      <c r="F585" s="29"/>
      <c r="G585" s="29"/>
      <c r="H585" s="29"/>
      <c r="I585" s="29"/>
    </row>
    <row r="586" customFormat="false" ht="15" hidden="false" customHeight="false" outlineLevel="0" collapsed="false">
      <c r="A586" s="29"/>
      <c r="B586" s="29"/>
      <c r="C586" s="29"/>
      <c r="D586" s="29"/>
      <c r="E586" s="29"/>
      <c r="F586" s="29"/>
      <c r="G586" s="29"/>
      <c r="H586" s="29"/>
      <c r="I586" s="29"/>
    </row>
    <row r="587" customFormat="false" ht="15" hidden="false" customHeight="false" outlineLevel="0" collapsed="false">
      <c r="A587" s="29"/>
      <c r="B587" s="29"/>
      <c r="C587" s="29"/>
      <c r="D587" s="29"/>
      <c r="E587" s="29"/>
      <c r="F587" s="29"/>
      <c r="G587" s="29"/>
      <c r="H587" s="29"/>
      <c r="I587" s="29"/>
    </row>
    <row r="588" customFormat="false" ht="15" hidden="false" customHeight="false" outlineLevel="0" collapsed="false">
      <c r="A588" s="29"/>
      <c r="B588" s="29"/>
      <c r="C588" s="29"/>
      <c r="D588" s="29"/>
      <c r="E588" s="29"/>
      <c r="F588" s="29"/>
      <c r="G588" s="29"/>
      <c r="H588" s="29"/>
      <c r="I588" s="29"/>
    </row>
    <row r="589" customFormat="false" ht="15" hidden="false" customHeight="false" outlineLevel="0" collapsed="false">
      <c r="A589" s="29"/>
      <c r="B589" s="29"/>
      <c r="C589" s="29"/>
      <c r="D589" s="29"/>
      <c r="E589" s="29"/>
      <c r="F589" s="29"/>
      <c r="G589" s="29"/>
      <c r="H589" s="29"/>
      <c r="I589" s="29"/>
    </row>
    <row r="590" customFormat="false" ht="15" hidden="false" customHeight="false" outlineLevel="0" collapsed="false">
      <c r="A590" s="29"/>
      <c r="B590" s="29"/>
      <c r="C590" s="29"/>
      <c r="D590" s="29"/>
      <c r="E590" s="29"/>
      <c r="F590" s="29"/>
      <c r="G590" s="29"/>
      <c r="H590" s="29"/>
      <c r="I590" s="29"/>
    </row>
    <row r="591" customFormat="false" ht="15" hidden="false" customHeight="false" outlineLevel="0" collapsed="false">
      <c r="A591" s="29"/>
      <c r="B591" s="29"/>
      <c r="C591" s="29"/>
      <c r="D591" s="29"/>
      <c r="E591" s="29"/>
      <c r="F591" s="29"/>
      <c r="G591" s="29"/>
      <c r="H591" s="29"/>
      <c r="I591" s="29"/>
    </row>
    <row r="592" customFormat="false" ht="15" hidden="false" customHeight="false" outlineLevel="0" collapsed="false">
      <c r="A592" s="29"/>
      <c r="B592" s="29"/>
      <c r="C592" s="29"/>
      <c r="D592" s="29"/>
      <c r="E592" s="29"/>
      <c r="F592" s="29"/>
      <c r="G592" s="29"/>
      <c r="H592" s="29"/>
      <c r="I592" s="29"/>
    </row>
    <row r="593" customFormat="false" ht="15" hidden="false" customHeight="false" outlineLevel="0" collapsed="false">
      <c r="A593" s="29"/>
      <c r="B593" s="29"/>
      <c r="C593" s="29"/>
      <c r="D593" s="29"/>
      <c r="E593" s="29"/>
      <c r="F593" s="29"/>
      <c r="G593" s="29"/>
      <c r="H593" s="29"/>
      <c r="I593" s="29"/>
    </row>
    <row r="594" customFormat="false" ht="15" hidden="false" customHeight="false" outlineLevel="0" collapsed="false">
      <c r="A594" s="29"/>
      <c r="B594" s="29"/>
      <c r="C594" s="29"/>
      <c r="D594" s="29"/>
      <c r="E594" s="29"/>
      <c r="F594" s="29"/>
      <c r="G594" s="29"/>
      <c r="H594" s="29"/>
      <c r="I594" s="29"/>
    </row>
    <row r="595" customFormat="false" ht="15" hidden="false" customHeight="false" outlineLevel="0" collapsed="false">
      <c r="A595" s="29"/>
      <c r="B595" s="29"/>
      <c r="C595" s="29"/>
      <c r="D595" s="29"/>
      <c r="E595" s="29"/>
      <c r="F595" s="29"/>
      <c r="G595" s="29"/>
      <c r="H595" s="29"/>
      <c r="I595" s="29"/>
    </row>
    <row r="596" customFormat="false" ht="15" hidden="false" customHeight="false" outlineLevel="0" collapsed="false">
      <c r="A596" s="29"/>
      <c r="B596" s="29"/>
      <c r="C596" s="29"/>
      <c r="D596" s="29"/>
      <c r="E596" s="29"/>
      <c r="F596" s="29"/>
      <c r="G596" s="29"/>
      <c r="H596" s="29"/>
      <c r="I596" s="29"/>
    </row>
    <row r="597" customFormat="false" ht="15" hidden="false" customHeight="false" outlineLevel="0" collapsed="false">
      <c r="A597" s="29"/>
      <c r="B597" s="29"/>
      <c r="C597" s="29"/>
      <c r="D597" s="29"/>
      <c r="E597" s="29"/>
      <c r="F597" s="29"/>
      <c r="G597" s="29"/>
      <c r="H597" s="29"/>
      <c r="I597" s="29"/>
    </row>
    <row r="598" customFormat="false" ht="15" hidden="false" customHeight="false" outlineLevel="0" collapsed="false">
      <c r="A598" s="29"/>
      <c r="B598" s="29"/>
      <c r="C598" s="29"/>
      <c r="D598" s="29"/>
      <c r="E598" s="29"/>
      <c r="F598" s="29"/>
      <c r="G598" s="29"/>
      <c r="H598" s="29"/>
      <c r="I598" s="29"/>
    </row>
    <row r="599" customFormat="false" ht="15" hidden="false" customHeight="false" outlineLevel="0" collapsed="false">
      <c r="A599" s="29"/>
      <c r="B599" s="29"/>
      <c r="C599" s="29"/>
      <c r="D599" s="29"/>
      <c r="E599" s="29"/>
      <c r="F599" s="29"/>
      <c r="G599" s="29"/>
      <c r="H599" s="29"/>
      <c r="I599" s="29"/>
    </row>
    <row r="600" customFormat="false" ht="15" hidden="false" customHeight="false" outlineLevel="0" collapsed="false">
      <c r="A600" s="29"/>
      <c r="B600" s="29"/>
      <c r="C600" s="29"/>
      <c r="D600" s="29"/>
      <c r="E600" s="29"/>
      <c r="F600" s="29"/>
      <c r="G600" s="29"/>
      <c r="H600" s="29"/>
      <c r="I600" s="29"/>
    </row>
    <row r="601" customFormat="false" ht="15" hidden="false" customHeight="false" outlineLevel="0" collapsed="false">
      <c r="A601" s="29"/>
      <c r="B601" s="29"/>
      <c r="C601" s="29"/>
      <c r="D601" s="29"/>
      <c r="E601" s="29"/>
      <c r="F601" s="29"/>
      <c r="G601" s="29"/>
      <c r="H601" s="29"/>
      <c r="I601" s="29"/>
    </row>
    <row r="602" customFormat="false" ht="15" hidden="false" customHeight="false" outlineLevel="0" collapsed="false">
      <c r="A602" s="29"/>
      <c r="B602" s="29"/>
      <c r="C602" s="29"/>
      <c r="D602" s="29"/>
      <c r="E602" s="29"/>
      <c r="F602" s="29"/>
      <c r="G602" s="29"/>
      <c r="H602" s="29"/>
      <c r="I602" s="29"/>
    </row>
    <row r="603" customFormat="false" ht="15" hidden="false" customHeight="false" outlineLevel="0" collapsed="false">
      <c r="A603" s="29"/>
      <c r="B603" s="29"/>
      <c r="C603" s="29"/>
      <c r="D603" s="29"/>
      <c r="E603" s="29"/>
      <c r="F603" s="29"/>
      <c r="G603" s="29"/>
      <c r="H603" s="29"/>
      <c r="I603" s="29"/>
    </row>
    <row r="604" customFormat="false" ht="15" hidden="false" customHeight="false" outlineLevel="0" collapsed="false">
      <c r="A604" s="29"/>
      <c r="B604" s="29"/>
      <c r="C604" s="29"/>
      <c r="D604" s="29"/>
      <c r="E604" s="29"/>
      <c r="F604" s="29"/>
      <c r="G604" s="29"/>
      <c r="H604" s="29"/>
      <c r="I604" s="29"/>
    </row>
    <row r="605" customFormat="false" ht="15" hidden="false" customHeight="false" outlineLevel="0" collapsed="false">
      <c r="A605" s="29"/>
      <c r="B605" s="29"/>
      <c r="C605" s="29"/>
      <c r="D605" s="29"/>
      <c r="E605" s="29"/>
      <c r="F605" s="29"/>
      <c r="G605" s="29"/>
      <c r="H605" s="29"/>
      <c r="I605" s="29"/>
    </row>
    <row r="606" customFormat="false" ht="15" hidden="false" customHeight="false" outlineLevel="0" collapsed="false">
      <c r="A606" s="29"/>
      <c r="B606" s="29"/>
      <c r="C606" s="29"/>
      <c r="D606" s="29"/>
      <c r="E606" s="29"/>
      <c r="F606" s="29"/>
      <c r="G606" s="29"/>
      <c r="H606" s="29"/>
      <c r="I606" s="29"/>
    </row>
    <row r="607" customFormat="false" ht="15" hidden="false" customHeight="false" outlineLevel="0" collapsed="false">
      <c r="A607" s="29"/>
      <c r="B607" s="29"/>
      <c r="C607" s="29"/>
      <c r="D607" s="29"/>
      <c r="E607" s="29"/>
      <c r="F607" s="29"/>
      <c r="G607" s="29"/>
      <c r="H607" s="29"/>
      <c r="I607" s="29"/>
    </row>
    <row r="608" customFormat="false" ht="15" hidden="false" customHeight="false" outlineLevel="0" collapsed="false">
      <c r="A608" s="29"/>
      <c r="B608" s="29"/>
      <c r="C608" s="29"/>
      <c r="D608" s="29"/>
      <c r="E608" s="29"/>
      <c r="F608" s="29"/>
      <c r="G608" s="29"/>
      <c r="H608" s="29"/>
      <c r="I608" s="29"/>
    </row>
    <row r="609" customFormat="false" ht="15" hidden="false" customHeight="false" outlineLevel="0" collapsed="false">
      <c r="A609" s="29"/>
      <c r="B609" s="29"/>
      <c r="C609" s="29"/>
      <c r="D609" s="29"/>
      <c r="E609" s="29"/>
      <c r="F609" s="29"/>
      <c r="G609" s="29"/>
      <c r="H609" s="29"/>
      <c r="I609" s="29"/>
    </row>
    <row r="610" customFormat="false" ht="15" hidden="false" customHeight="false" outlineLevel="0" collapsed="false">
      <c r="A610" s="29"/>
      <c r="B610" s="29"/>
      <c r="C610" s="29"/>
      <c r="D610" s="29"/>
      <c r="E610" s="29"/>
      <c r="F610" s="29"/>
      <c r="G610" s="29"/>
      <c r="H610" s="29"/>
      <c r="I610" s="29"/>
    </row>
    <row r="611" customFormat="false" ht="15" hidden="false" customHeight="false" outlineLevel="0" collapsed="false">
      <c r="A611" s="29"/>
      <c r="B611" s="29"/>
      <c r="C611" s="29"/>
      <c r="D611" s="29"/>
      <c r="E611" s="29"/>
      <c r="F611" s="29"/>
      <c r="G611" s="29"/>
      <c r="H611" s="29"/>
      <c r="I611" s="29"/>
    </row>
    <row r="612" customFormat="false" ht="15" hidden="false" customHeight="false" outlineLevel="0" collapsed="false">
      <c r="A612" s="29"/>
      <c r="B612" s="29"/>
      <c r="C612" s="29"/>
      <c r="D612" s="29"/>
      <c r="E612" s="29"/>
      <c r="F612" s="29"/>
      <c r="G612" s="29"/>
      <c r="H612" s="29"/>
      <c r="I612" s="29"/>
    </row>
    <row r="613" customFormat="false" ht="15" hidden="false" customHeight="false" outlineLevel="0" collapsed="false">
      <c r="A613" s="29"/>
      <c r="B613" s="29"/>
      <c r="C613" s="29"/>
      <c r="D613" s="29"/>
      <c r="E613" s="29"/>
      <c r="F613" s="29"/>
      <c r="G613" s="29"/>
      <c r="H613" s="29"/>
      <c r="I613" s="29"/>
    </row>
    <row r="614" customFormat="false" ht="15" hidden="false" customHeight="false" outlineLevel="0" collapsed="false">
      <c r="A614" s="29"/>
      <c r="B614" s="29"/>
      <c r="C614" s="29"/>
      <c r="D614" s="29"/>
      <c r="E614" s="29"/>
      <c r="F614" s="29"/>
      <c r="G614" s="29"/>
      <c r="H614" s="29"/>
      <c r="I614" s="29"/>
    </row>
    <row r="615" customFormat="false" ht="15" hidden="false" customHeight="false" outlineLevel="0" collapsed="false">
      <c r="A615" s="29"/>
      <c r="B615" s="29"/>
      <c r="C615" s="29"/>
      <c r="D615" s="29"/>
      <c r="E615" s="29"/>
      <c r="F615" s="29"/>
      <c r="G615" s="29"/>
      <c r="H615" s="29"/>
      <c r="I615" s="29"/>
    </row>
    <row r="616" customFormat="false" ht="15" hidden="false" customHeight="false" outlineLevel="0" collapsed="false">
      <c r="A616" s="29"/>
      <c r="B616" s="29"/>
      <c r="C616" s="29"/>
      <c r="D616" s="29"/>
      <c r="E616" s="29"/>
      <c r="F616" s="29"/>
      <c r="G616" s="29"/>
      <c r="H616" s="29"/>
      <c r="I616" s="29"/>
    </row>
    <row r="617" customFormat="false" ht="15" hidden="false" customHeight="false" outlineLevel="0" collapsed="false">
      <c r="A617" s="29"/>
      <c r="B617" s="29"/>
      <c r="C617" s="29"/>
      <c r="D617" s="29"/>
      <c r="E617" s="29"/>
      <c r="F617" s="29"/>
      <c r="G617" s="29"/>
      <c r="H617" s="29"/>
      <c r="I617" s="29"/>
    </row>
    <row r="618" customFormat="false" ht="15" hidden="false" customHeight="false" outlineLevel="0" collapsed="false">
      <c r="A618" s="29"/>
      <c r="B618" s="29"/>
      <c r="C618" s="29"/>
      <c r="D618" s="29"/>
      <c r="E618" s="29"/>
      <c r="F618" s="29"/>
      <c r="G618" s="29"/>
      <c r="H618" s="29"/>
      <c r="I618" s="29"/>
    </row>
    <row r="619" customFormat="false" ht="15" hidden="false" customHeight="false" outlineLevel="0" collapsed="false">
      <c r="A619" s="29"/>
      <c r="B619" s="29"/>
      <c r="C619" s="29"/>
      <c r="D619" s="29"/>
      <c r="E619" s="29"/>
      <c r="F619" s="29"/>
      <c r="G619" s="29"/>
      <c r="H619" s="29"/>
      <c r="I619" s="29"/>
    </row>
    <row r="620" customFormat="false" ht="15" hidden="false" customHeight="false" outlineLevel="0" collapsed="false">
      <c r="A620" s="29"/>
      <c r="B620" s="29"/>
      <c r="C620" s="29"/>
      <c r="D620" s="29"/>
      <c r="E620" s="29"/>
      <c r="F620" s="29"/>
      <c r="G620" s="29"/>
      <c r="H620" s="29"/>
      <c r="I620" s="29"/>
    </row>
    <row r="621" customFormat="false" ht="15" hidden="false" customHeight="false" outlineLevel="0" collapsed="false">
      <c r="A621" s="29"/>
      <c r="B621" s="29"/>
      <c r="C621" s="29"/>
      <c r="D621" s="29"/>
      <c r="E621" s="29"/>
      <c r="F621" s="29"/>
      <c r="G621" s="29"/>
      <c r="H621" s="29"/>
      <c r="I621" s="29"/>
    </row>
    <row r="622" customFormat="false" ht="15" hidden="false" customHeight="false" outlineLevel="0" collapsed="false">
      <c r="A622" s="29"/>
      <c r="B622" s="29"/>
      <c r="C622" s="29"/>
      <c r="D622" s="29"/>
      <c r="E622" s="29"/>
      <c r="F622" s="29"/>
      <c r="G622" s="29"/>
      <c r="H622" s="29"/>
      <c r="I622" s="29"/>
    </row>
    <row r="623" customFormat="false" ht="15" hidden="false" customHeight="false" outlineLevel="0" collapsed="false">
      <c r="A623" s="29"/>
      <c r="B623" s="29"/>
      <c r="C623" s="29"/>
      <c r="D623" s="29"/>
      <c r="E623" s="29"/>
      <c r="F623" s="29"/>
      <c r="G623" s="29"/>
      <c r="H623" s="29"/>
      <c r="I623" s="29"/>
    </row>
    <row r="624" customFormat="false" ht="15" hidden="false" customHeight="false" outlineLevel="0" collapsed="false">
      <c r="A624" s="29"/>
      <c r="B624" s="29"/>
      <c r="C624" s="29"/>
      <c r="D624" s="29"/>
      <c r="E624" s="29"/>
      <c r="F624" s="29"/>
      <c r="G624" s="29"/>
      <c r="H624" s="29"/>
      <c r="I624" s="29"/>
    </row>
    <row r="625" customFormat="false" ht="15" hidden="false" customHeight="false" outlineLevel="0" collapsed="false">
      <c r="A625" s="29"/>
      <c r="B625" s="29"/>
      <c r="C625" s="29"/>
      <c r="D625" s="29"/>
      <c r="E625" s="29"/>
      <c r="F625" s="29"/>
      <c r="G625" s="29"/>
      <c r="H625" s="29"/>
      <c r="I625" s="29"/>
    </row>
    <row r="626" customFormat="false" ht="15" hidden="false" customHeight="false" outlineLevel="0" collapsed="false">
      <c r="A626" s="29"/>
      <c r="B626" s="29"/>
      <c r="C626" s="29"/>
      <c r="D626" s="29"/>
      <c r="E626" s="29"/>
      <c r="F626" s="29"/>
      <c r="G626" s="29"/>
      <c r="H626" s="29"/>
      <c r="I626" s="29"/>
    </row>
    <row r="627" customFormat="false" ht="15" hidden="false" customHeight="false" outlineLevel="0" collapsed="false">
      <c r="A627" s="29"/>
      <c r="B627" s="29"/>
      <c r="C627" s="29"/>
      <c r="D627" s="29"/>
      <c r="E627" s="29"/>
      <c r="F627" s="29"/>
      <c r="G627" s="29"/>
      <c r="H627" s="29"/>
      <c r="I627" s="29"/>
    </row>
    <row r="628" customFormat="false" ht="15" hidden="false" customHeight="false" outlineLevel="0" collapsed="false">
      <c r="A628" s="29"/>
      <c r="B628" s="29"/>
      <c r="C628" s="29"/>
      <c r="D628" s="29"/>
      <c r="E628" s="29"/>
      <c r="F628" s="29"/>
      <c r="G628" s="29"/>
      <c r="H628" s="29"/>
      <c r="I628" s="29"/>
    </row>
    <row r="629" customFormat="false" ht="15" hidden="false" customHeight="false" outlineLevel="0" collapsed="false">
      <c r="A629" s="29"/>
      <c r="B629" s="29"/>
      <c r="C629" s="29"/>
      <c r="D629" s="29"/>
      <c r="E629" s="29"/>
      <c r="F629" s="29"/>
      <c r="G629" s="29"/>
      <c r="H629" s="29"/>
      <c r="I629" s="29"/>
    </row>
    <row r="630" customFormat="false" ht="15" hidden="false" customHeight="false" outlineLevel="0" collapsed="false">
      <c r="A630" s="29"/>
      <c r="B630" s="29"/>
      <c r="C630" s="29"/>
      <c r="D630" s="29"/>
      <c r="E630" s="29"/>
      <c r="F630" s="29"/>
      <c r="G630" s="29"/>
      <c r="H630" s="29"/>
      <c r="I630" s="29"/>
    </row>
    <row r="631" customFormat="false" ht="15" hidden="false" customHeight="false" outlineLevel="0" collapsed="false">
      <c r="A631" s="29"/>
      <c r="B631" s="29"/>
      <c r="C631" s="29"/>
      <c r="D631" s="29"/>
      <c r="E631" s="29"/>
      <c r="F631" s="29"/>
      <c r="G631" s="29"/>
      <c r="H631" s="29"/>
      <c r="I631" s="29"/>
    </row>
    <row r="632" customFormat="false" ht="15" hidden="false" customHeight="false" outlineLevel="0" collapsed="false">
      <c r="A632" s="29"/>
      <c r="B632" s="29"/>
      <c r="C632" s="29"/>
      <c r="D632" s="29"/>
      <c r="E632" s="29"/>
      <c r="F632" s="29"/>
      <c r="G632" s="29"/>
      <c r="H632" s="29"/>
      <c r="I632" s="29"/>
    </row>
    <row r="633" customFormat="false" ht="15" hidden="false" customHeight="false" outlineLevel="0" collapsed="false">
      <c r="A633" s="29"/>
      <c r="B633" s="29"/>
      <c r="C633" s="29"/>
      <c r="D633" s="29"/>
      <c r="E633" s="29"/>
      <c r="F633" s="29"/>
      <c r="G633" s="29"/>
      <c r="H633" s="29"/>
      <c r="I633" s="29"/>
    </row>
    <row r="634" customFormat="false" ht="15" hidden="false" customHeight="false" outlineLevel="0" collapsed="false">
      <c r="A634" s="29"/>
      <c r="B634" s="29"/>
      <c r="C634" s="29"/>
      <c r="D634" s="29"/>
      <c r="E634" s="29"/>
      <c r="F634" s="29"/>
      <c r="G634" s="29"/>
      <c r="H634" s="29"/>
      <c r="I634" s="29"/>
    </row>
    <row r="635" customFormat="false" ht="15" hidden="false" customHeight="false" outlineLevel="0" collapsed="false">
      <c r="A635" s="29"/>
      <c r="B635" s="29"/>
      <c r="C635" s="29"/>
      <c r="D635" s="29"/>
      <c r="E635" s="29"/>
      <c r="F635" s="29"/>
      <c r="G635" s="29"/>
      <c r="H635" s="29"/>
      <c r="I635" s="29"/>
    </row>
    <row r="636" customFormat="false" ht="15" hidden="false" customHeight="false" outlineLevel="0" collapsed="false">
      <c r="A636" s="29"/>
      <c r="B636" s="29"/>
      <c r="C636" s="29"/>
      <c r="D636" s="29"/>
      <c r="E636" s="29"/>
      <c r="F636" s="29"/>
      <c r="G636" s="29"/>
      <c r="H636" s="29"/>
      <c r="I636" s="29"/>
    </row>
    <row r="637" customFormat="false" ht="15" hidden="false" customHeight="false" outlineLevel="0" collapsed="false">
      <c r="A637" s="29"/>
      <c r="B637" s="29"/>
      <c r="C637" s="29"/>
      <c r="D637" s="29"/>
      <c r="E637" s="29"/>
      <c r="F637" s="29"/>
      <c r="G637" s="29"/>
      <c r="H637" s="29"/>
      <c r="I637" s="29"/>
    </row>
    <row r="638" customFormat="false" ht="15" hidden="false" customHeight="false" outlineLevel="0" collapsed="false">
      <c r="A638" s="29"/>
      <c r="B638" s="29"/>
      <c r="C638" s="29"/>
      <c r="D638" s="29"/>
      <c r="E638" s="29"/>
      <c r="F638" s="29"/>
      <c r="G638" s="29"/>
      <c r="H638" s="29"/>
      <c r="I638" s="29"/>
    </row>
    <row r="639" customFormat="false" ht="15" hidden="false" customHeight="false" outlineLevel="0" collapsed="false">
      <c r="A639" s="29"/>
      <c r="B639" s="29"/>
      <c r="C639" s="29"/>
      <c r="D639" s="29"/>
      <c r="E639" s="29"/>
      <c r="F639" s="29"/>
      <c r="G639" s="29"/>
      <c r="H639" s="29"/>
      <c r="I639" s="29"/>
    </row>
    <row r="640" customFormat="false" ht="15" hidden="false" customHeight="false" outlineLevel="0" collapsed="false">
      <c r="A640" s="29"/>
      <c r="B640" s="29"/>
      <c r="C640" s="29"/>
      <c r="D640" s="29"/>
      <c r="E640" s="29"/>
      <c r="F640" s="29"/>
      <c r="G640" s="29"/>
      <c r="H640" s="29"/>
      <c r="I640" s="29"/>
    </row>
    <row r="641" customFormat="false" ht="15" hidden="false" customHeight="false" outlineLevel="0" collapsed="false">
      <c r="A641" s="29"/>
      <c r="B641" s="29"/>
      <c r="C641" s="29"/>
      <c r="D641" s="29"/>
      <c r="E641" s="29"/>
      <c r="F641" s="29"/>
      <c r="G641" s="29"/>
      <c r="H641" s="29"/>
      <c r="I641" s="29"/>
    </row>
    <row r="642" customFormat="false" ht="15" hidden="false" customHeight="false" outlineLevel="0" collapsed="false">
      <c r="A642" s="29"/>
      <c r="B642" s="29"/>
      <c r="C642" s="29"/>
      <c r="D642" s="29"/>
      <c r="E642" s="29"/>
      <c r="F642" s="29"/>
      <c r="G642" s="29"/>
      <c r="H642" s="29"/>
      <c r="I642" s="29"/>
    </row>
    <row r="643" customFormat="false" ht="15" hidden="false" customHeight="false" outlineLevel="0" collapsed="false">
      <c r="A643" s="29"/>
      <c r="B643" s="29"/>
      <c r="C643" s="29"/>
      <c r="D643" s="29"/>
      <c r="E643" s="29"/>
      <c r="F643" s="29"/>
      <c r="G643" s="29"/>
      <c r="H643" s="29"/>
      <c r="I643" s="29"/>
    </row>
    <row r="644" customFormat="false" ht="15" hidden="false" customHeight="false" outlineLevel="0" collapsed="false">
      <c r="A644" s="29"/>
      <c r="B644" s="29"/>
      <c r="C644" s="29"/>
      <c r="D644" s="29"/>
      <c r="E644" s="29"/>
      <c r="F644" s="29"/>
      <c r="G644" s="29"/>
      <c r="H644" s="29"/>
      <c r="I644" s="29"/>
    </row>
    <row r="645" customFormat="false" ht="15" hidden="false" customHeight="false" outlineLevel="0" collapsed="false">
      <c r="A645" s="29"/>
      <c r="B645" s="29"/>
      <c r="C645" s="29"/>
      <c r="D645" s="29"/>
      <c r="E645" s="29"/>
      <c r="F645" s="29"/>
      <c r="G645" s="29"/>
      <c r="H645" s="29"/>
      <c r="I645" s="29"/>
    </row>
    <row r="646" customFormat="false" ht="15" hidden="false" customHeight="false" outlineLevel="0" collapsed="false">
      <c r="A646" s="29"/>
      <c r="B646" s="29"/>
      <c r="C646" s="29"/>
      <c r="D646" s="29"/>
      <c r="E646" s="29"/>
      <c r="F646" s="29"/>
      <c r="G646" s="29"/>
      <c r="H646" s="29"/>
      <c r="I646" s="29"/>
    </row>
    <row r="647" customFormat="false" ht="15" hidden="false" customHeight="false" outlineLevel="0" collapsed="false">
      <c r="A647" s="29"/>
      <c r="B647" s="29"/>
      <c r="C647" s="29"/>
      <c r="D647" s="29"/>
      <c r="E647" s="29"/>
      <c r="F647" s="29"/>
      <c r="G647" s="29"/>
      <c r="H647" s="29"/>
      <c r="I647" s="29"/>
    </row>
    <row r="648" customFormat="false" ht="15" hidden="false" customHeight="false" outlineLevel="0" collapsed="false">
      <c r="A648" s="29"/>
      <c r="B648" s="29"/>
      <c r="C648" s="29"/>
      <c r="D648" s="29"/>
      <c r="E648" s="29"/>
      <c r="F648" s="29"/>
      <c r="G648" s="29"/>
      <c r="H648" s="29"/>
      <c r="I648" s="29"/>
    </row>
    <row r="649" customFormat="false" ht="15" hidden="false" customHeight="false" outlineLevel="0" collapsed="false">
      <c r="A649" s="29"/>
      <c r="B649" s="29"/>
      <c r="C649" s="29"/>
      <c r="D649" s="29"/>
      <c r="E649" s="29"/>
      <c r="F649" s="29"/>
      <c r="G649" s="29"/>
      <c r="H649" s="29"/>
      <c r="I649" s="29"/>
    </row>
    <row r="650" customFormat="false" ht="15" hidden="false" customHeight="false" outlineLevel="0" collapsed="false">
      <c r="A650" s="29"/>
      <c r="B650" s="29"/>
      <c r="C650" s="29"/>
      <c r="D650" s="29"/>
      <c r="E650" s="29"/>
      <c r="F650" s="29"/>
      <c r="G650" s="29"/>
      <c r="H650" s="29"/>
      <c r="I650" s="29"/>
    </row>
    <row r="651" customFormat="false" ht="15" hidden="false" customHeight="false" outlineLevel="0" collapsed="false">
      <c r="A651" s="29"/>
      <c r="B651" s="29"/>
      <c r="C651" s="29"/>
      <c r="D651" s="29"/>
      <c r="E651" s="29"/>
      <c r="F651" s="29"/>
      <c r="G651" s="29"/>
      <c r="H651" s="29"/>
      <c r="I651" s="29"/>
    </row>
    <row r="652" customFormat="false" ht="15" hidden="false" customHeight="false" outlineLevel="0" collapsed="false">
      <c r="A652" s="29"/>
      <c r="B652" s="29"/>
      <c r="C652" s="29"/>
      <c r="D652" s="29"/>
      <c r="E652" s="29"/>
      <c r="F652" s="29"/>
      <c r="G652" s="29"/>
      <c r="H652" s="29"/>
      <c r="I652" s="29"/>
    </row>
    <row r="653" customFormat="false" ht="15" hidden="false" customHeight="false" outlineLevel="0" collapsed="false">
      <c r="A653" s="29"/>
      <c r="B653" s="29"/>
      <c r="C653" s="29"/>
      <c r="D653" s="29"/>
      <c r="E653" s="29"/>
      <c r="F653" s="29"/>
      <c r="G653" s="29"/>
      <c r="H653" s="29"/>
      <c r="I653" s="29"/>
    </row>
    <row r="654" customFormat="false" ht="15" hidden="false" customHeight="false" outlineLevel="0" collapsed="false">
      <c r="A654" s="29"/>
      <c r="B654" s="29"/>
      <c r="C654" s="29"/>
      <c r="D654" s="29"/>
      <c r="E654" s="29"/>
      <c r="F654" s="29"/>
      <c r="G654" s="29"/>
      <c r="H654" s="29"/>
      <c r="I654" s="29"/>
    </row>
    <row r="655" customFormat="false" ht="15" hidden="false" customHeight="false" outlineLevel="0" collapsed="false">
      <c r="A655" s="29"/>
      <c r="B655" s="29"/>
      <c r="C655" s="29"/>
      <c r="D655" s="29"/>
      <c r="E655" s="29"/>
      <c r="F655" s="29"/>
      <c r="G655" s="29"/>
      <c r="H655" s="29"/>
      <c r="I655" s="29"/>
    </row>
    <row r="656" customFormat="false" ht="15" hidden="false" customHeight="false" outlineLevel="0" collapsed="false">
      <c r="A656" s="29"/>
      <c r="B656" s="29"/>
      <c r="C656" s="29"/>
      <c r="D656" s="29"/>
      <c r="E656" s="29"/>
      <c r="F656" s="29"/>
      <c r="G656" s="29"/>
      <c r="H656" s="29"/>
      <c r="I656" s="29"/>
    </row>
    <row r="657" customFormat="false" ht="15" hidden="false" customHeight="false" outlineLevel="0" collapsed="false">
      <c r="A657" s="29"/>
      <c r="B657" s="29"/>
      <c r="C657" s="29"/>
      <c r="D657" s="29"/>
      <c r="E657" s="29"/>
      <c r="F657" s="29"/>
      <c r="G657" s="29"/>
      <c r="H657" s="29"/>
      <c r="I657" s="29"/>
    </row>
    <row r="658" customFormat="false" ht="15" hidden="false" customHeight="false" outlineLevel="0" collapsed="false">
      <c r="A658" s="29"/>
      <c r="B658" s="29"/>
      <c r="C658" s="29"/>
      <c r="D658" s="29"/>
      <c r="E658" s="29"/>
      <c r="F658" s="29"/>
      <c r="G658" s="29"/>
      <c r="H658" s="29"/>
      <c r="I658" s="29"/>
    </row>
    <row r="659" customFormat="false" ht="15" hidden="false" customHeight="false" outlineLevel="0" collapsed="false">
      <c r="A659" s="29"/>
      <c r="B659" s="29"/>
      <c r="C659" s="29"/>
      <c r="D659" s="29"/>
      <c r="E659" s="29"/>
      <c r="F659" s="29"/>
      <c r="G659" s="29"/>
      <c r="H659" s="29"/>
      <c r="I659" s="29"/>
    </row>
    <row r="660" customFormat="false" ht="15" hidden="false" customHeight="false" outlineLevel="0" collapsed="false">
      <c r="A660" s="29"/>
      <c r="B660" s="29"/>
      <c r="C660" s="29"/>
      <c r="D660" s="29"/>
      <c r="E660" s="29"/>
      <c r="F660" s="29"/>
      <c r="G660" s="29"/>
      <c r="H660" s="29"/>
      <c r="I660" s="29"/>
    </row>
    <row r="661" customFormat="false" ht="15" hidden="false" customHeight="false" outlineLevel="0" collapsed="false">
      <c r="A661" s="29"/>
      <c r="B661" s="29"/>
      <c r="C661" s="29"/>
      <c r="D661" s="29"/>
      <c r="E661" s="29"/>
      <c r="F661" s="29"/>
      <c r="G661" s="29"/>
      <c r="H661" s="29"/>
      <c r="I661" s="29"/>
    </row>
    <row r="662" customFormat="false" ht="15" hidden="false" customHeight="false" outlineLevel="0" collapsed="false">
      <c r="A662" s="29"/>
      <c r="B662" s="29"/>
      <c r="C662" s="29"/>
      <c r="D662" s="29"/>
      <c r="E662" s="29"/>
      <c r="F662" s="29"/>
      <c r="G662" s="29"/>
      <c r="H662" s="29"/>
      <c r="I662" s="29"/>
    </row>
    <row r="663" customFormat="false" ht="15" hidden="false" customHeight="false" outlineLevel="0" collapsed="false">
      <c r="A663" s="29"/>
      <c r="B663" s="29"/>
      <c r="C663" s="29"/>
      <c r="D663" s="29"/>
      <c r="E663" s="29"/>
      <c r="F663" s="29"/>
      <c r="G663" s="29"/>
      <c r="H663" s="29"/>
      <c r="I663" s="29"/>
    </row>
    <row r="664" customFormat="false" ht="15" hidden="false" customHeight="false" outlineLevel="0" collapsed="false">
      <c r="A664" s="29"/>
      <c r="B664" s="29"/>
      <c r="C664" s="29"/>
      <c r="D664" s="29"/>
      <c r="E664" s="29"/>
      <c r="F664" s="29"/>
      <c r="G664" s="29"/>
      <c r="H664" s="29"/>
      <c r="I664" s="29"/>
    </row>
    <row r="665" customFormat="false" ht="15" hidden="false" customHeight="false" outlineLevel="0" collapsed="false">
      <c r="A665" s="29"/>
      <c r="B665" s="29"/>
      <c r="C665" s="29"/>
      <c r="D665" s="29"/>
      <c r="E665" s="29"/>
      <c r="F665" s="29"/>
      <c r="G665" s="29"/>
      <c r="H665" s="29"/>
      <c r="I665" s="29"/>
    </row>
    <row r="666" customFormat="false" ht="15" hidden="false" customHeight="false" outlineLevel="0" collapsed="false">
      <c r="A666" s="29"/>
      <c r="B666" s="29"/>
      <c r="C666" s="29"/>
      <c r="D666" s="29"/>
      <c r="E666" s="29"/>
      <c r="F666" s="29"/>
      <c r="G666" s="29"/>
      <c r="H666" s="29"/>
      <c r="I666" s="29"/>
    </row>
    <row r="667" customFormat="false" ht="15" hidden="false" customHeight="false" outlineLevel="0" collapsed="false">
      <c r="A667" s="29"/>
      <c r="B667" s="29"/>
      <c r="C667" s="29"/>
      <c r="D667" s="29"/>
      <c r="E667" s="29"/>
      <c r="F667" s="29"/>
      <c r="G667" s="29"/>
      <c r="H667" s="29"/>
      <c r="I667" s="29"/>
    </row>
    <row r="668" customFormat="false" ht="15" hidden="false" customHeight="false" outlineLevel="0" collapsed="false">
      <c r="A668" s="29"/>
      <c r="B668" s="29"/>
      <c r="C668" s="29"/>
      <c r="D668" s="29"/>
      <c r="E668" s="29"/>
      <c r="F668" s="29"/>
      <c r="G668" s="29"/>
      <c r="H668" s="29"/>
      <c r="I668" s="29"/>
    </row>
    <row r="669" customFormat="false" ht="15" hidden="false" customHeight="false" outlineLevel="0" collapsed="false">
      <c r="A669" s="29"/>
      <c r="B669" s="29"/>
      <c r="C669" s="29"/>
      <c r="D669" s="29"/>
      <c r="E669" s="29"/>
      <c r="F669" s="29"/>
      <c r="G669" s="29"/>
      <c r="H669" s="29"/>
      <c r="I669" s="29"/>
    </row>
    <row r="670" customFormat="false" ht="15" hidden="false" customHeight="false" outlineLevel="0" collapsed="false">
      <c r="A670" s="29"/>
      <c r="B670" s="29"/>
      <c r="C670" s="29"/>
      <c r="D670" s="29"/>
      <c r="E670" s="29"/>
      <c r="F670" s="29"/>
      <c r="G670" s="29"/>
      <c r="H670" s="29"/>
      <c r="I670" s="29"/>
    </row>
    <row r="671" customFormat="false" ht="15" hidden="false" customHeight="false" outlineLevel="0" collapsed="false">
      <c r="A671" s="29"/>
      <c r="B671" s="29"/>
      <c r="C671" s="29"/>
      <c r="D671" s="29"/>
      <c r="E671" s="29"/>
      <c r="F671" s="29"/>
      <c r="G671" s="29"/>
      <c r="H671" s="29"/>
      <c r="I671" s="29"/>
    </row>
    <row r="672" customFormat="false" ht="15" hidden="false" customHeight="false" outlineLevel="0" collapsed="false">
      <c r="A672" s="29"/>
      <c r="B672" s="29"/>
      <c r="C672" s="29"/>
      <c r="D672" s="29"/>
      <c r="E672" s="29"/>
      <c r="F672" s="29"/>
      <c r="G672" s="29"/>
      <c r="H672" s="29"/>
      <c r="I672" s="29"/>
    </row>
    <row r="673" customFormat="false" ht="15" hidden="false" customHeight="false" outlineLevel="0" collapsed="false">
      <c r="A673" s="29"/>
      <c r="B673" s="29"/>
      <c r="C673" s="29"/>
      <c r="D673" s="29"/>
      <c r="E673" s="29"/>
      <c r="F673" s="29"/>
      <c r="G673" s="29"/>
      <c r="H673" s="29"/>
      <c r="I673" s="29"/>
    </row>
    <row r="674" customFormat="false" ht="15" hidden="false" customHeight="false" outlineLevel="0" collapsed="false">
      <c r="A674" s="29"/>
      <c r="B674" s="29"/>
      <c r="C674" s="29"/>
      <c r="D674" s="29"/>
      <c r="E674" s="29"/>
      <c r="F674" s="29"/>
      <c r="G674" s="29"/>
      <c r="H674" s="29"/>
      <c r="I674" s="29"/>
    </row>
    <row r="675" customFormat="false" ht="15" hidden="false" customHeight="false" outlineLevel="0" collapsed="false">
      <c r="A675" s="29"/>
      <c r="B675" s="29"/>
      <c r="C675" s="29"/>
      <c r="D675" s="29"/>
      <c r="E675" s="29"/>
      <c r="F675" s="29"/>
      <c r="G675" s="29"/>
      <c r="H675" s="29"/>
      <c r="I675" s="29"/>
    </row>
    <row r="676" customFormat="false" ht="15" hidden="false" customHeight="false" outlineLevel="0" collapsed="false">
      <c r="A676" s="29"/>
      <c r="B676" s="29"/>
      <c r="C676" s="29"/>
      <c r="D676" s="29"/>
      <c r="E676" s="29"/>
      <c r="F676" s="29"/>
      <c r="G676" s="29"/>
      <c r="H676" s="29"/>
      <c r="I676" s="29"/>
    </row>
    <row r="677" customFormat="false" ht="15" hidden="false" customHeight="false" outlineLevel="0" collapsed="false">
      <c r="A677" s="29"/>
      <c r="B677" s="29"/>
      <c r="C677" s="29"/>
      <c r="D677" s="29"/>
      <c r="E677" s="29"/>
      <c r="F677" s="29"/>
      <c r="G677" s="29"/>
      <c r="H677" s="29"/>
      <c r="I677" s="29"/>
    </row>
    <row r="678" customFormat="false" ht="15" hidden="false" customHeight="false" outlineLevel="0" collapsed="false">
      <c r="A678" s="29"/>
      <c r="B678" s="29"/>
      <c r="C678" s="29"/>
      <c r="D678" s="29"/>
      <c r="E678" s="29"/>
      <c r="F678" s="29"/>
      <c r="G678" s="29"/>
      <c r="H678" s="29"/>
      <c r="I678" s="29"/>
    </row>
    <row r="679" customFormat="false" ht="15" hidden="false" customHeight="false" outlineLevel="0" collapsed="false">
      <c r="A679" s="29"/>
      <c r="B679" s="29"/>
      <c r="C679" s="29"/>
      <c r="D679" s="29"/>
      <c r="E679" s="29"/>
      <c r="F679" s="29"/>
      <c r="G679" s="29"/>
      <c r="H679" s="29"/>
      <c r="I679" s="29"/>
    </row>
    <row r="680" customFormat="false" ht="15" hidden="false" customHeight="false" outlineLevel="0" collapsed="false">
      <c r="A680" s="29"/>
      <c r="B680" s="29"/>
      <c r="C680" s="29"/>
      <c r="D680" s="29"/>
      <c r="E680" s="29"/>
      <c r="F680" s="29"/>
      <c r="G680" s="29"/>
      <c r="H680" s="29"/>
      <c r="I680" s="29"/>
    </row>
    <row r="681" customFormat="false" ht="15" hidden="false" customHeight="false" outlineLevel="0" collapsed="false">
      <c r="A681" s="29"/>
      <c r="B681" s="29"/>
      <c r="C681" s="29"/>
      <c r="D681" s="29"/>
      <c r="E681" s="29"/>
      <c r="F681" s="29"/>
      <c r="G681" s="29"/>
      <c r="H681" s="29"/>
      <c r="I681" s="29"/>
    </row>
    <row r="682" customFormat="false" ht="15" hidden="false" customHeight="false" outlineLevel="0" collapsed="false">
      <c r="A682" s="29"/>
      <c r="B682" s="29"/>
      <c r="C682" s="29"/>
      <c r="D682" s="29"/>
      <c r="E682" s="29"/>
      <c r="F682" s="29"/>
      <c r="G682" s="29"/>
      <c r="H682" s="29"/>
      <c r="I682" s="29"/>
    </row>
    <row r="683" customFormat="false" ht="15" hidden="false" customHeight="false" outlineLevel="0" collapsed="false">
      <c r="A683" s="29"/>
      <c r="B683" s="29"/>
      <c r="C683" s="29"/>
      <c r="D683" s="29"/>
      <c r="E683" s="29"/>
      <c r="F683" s="29"/>
      <c r="G683" s="29"/>
      <c r="H683" s="29"/>
      <c r="I683" s="29"/>
    </row>
    <row r="684" customFormat="false" ht="15" hidden="false" customHeight="false" outlineLevel="0" collapsed="false">
      <c r="A684" s="29"/>
      <c r="B684" s="29"/>
      <c r="C684" s="29"/>
      <c r="D684" s="29"/>
      <c r="E684" s="29"/>
      <c r="F684" s="29"/>
      <c r="G684" s="29"/>
      <c r="H684" s="29"/>
      <c r="I684" s="29"/>
    </row>
    <row r="685" customFormat="false" ht="15" hidden="false" customHeight="false" outlineLevel="0" collapsed="false">
      <c r="A685" s="29"/>
      <c r="B685" s="29"/>
      <c r="C685" s="29"/>
      <c r="D685" s="29"/>
      <c r="E685" s="29"/>
      <c r="F685" s="29"/>
      <c r="G685" s="29"/>
      <c r="H685" s="29"/>
      <c r="I685" s="29"/>
    </row>
    <row r="686" customFormat="false" ht="15" hidden="false" customHeight="false" outlineLevel="0" collapsed="false">
      <c r="A686" s="29"/>
      <c r="B686" s="29"/>
      <c r="C686" s="29"/>
      <c r="D686" s="29"/>
      <c r="E686" s="29"/>
      <c r="F686" s="29"/>
      <c r="G686" s="29"/>
      <c r="H686" s="29"/>
      <c r="I686" s="29"/>
    </row>
    <row r="687" customFormat="false" ht="15" hidden="false" customHeight="false" outlineLevel="0" collapsed="false">
      <c r="A687" s="29"/>
      <c r="B687" s="29"/>
      <c r="C687" s="29"/>
      <c r="D687" s="29"/>
      <c r="E687" s="29"/>
      <c r="F687" s="29"/>
      <c r="G687" s="29"/>
      <c r="H687" s="29"/>
      <c r="I687" s="29"/>
    </row>
    <row r="688" customFormat="false" ht="15" hidden="false" customHeight="false" outlineLevel="0" collapsed="false">
      <c r="A688" s="29"/>
      <c r="B688" s="29"/>
      <c r="C688" s="29"/>
      <c r="D688" s="29"/>
      <c r="E688" s="29"/>
      <c r="F688" s="29"/>
      <c r="G688" s="29"/>
      <c r="H688" s="29"/>
      <c r="I688" s="29"/>
    </row>
    <row r="689" customFormat="false" ht="15" hidden="false" customHeight="false" outlineLevel="0" collapsed="false">
      <c r="A689" s="29"/>
      <c r="B689" s="29"/>
      <c r="C689" s="29"/>
      <c r="D689" s="29"/>
      <c r="E689" s="29"/>
      <c r="F689" s="29"/>
      <c r="G689" s="29"/>
      <c r="H689" s="29"/>
      <c r="I689" s="29"/>
    </row>
    <row r="690" customFormat="false" ht="15" hidden="false" customHeight="false" outlineLevel="0" collapsed="false">
      <c r="A690" s="29"/>
      <c r="B690" s="29"/>
      <c r="C690" s="29"/>
      <c r="D690" s="29"/>
      <c r="E690" s="29"/>
      <c r="F690" s="29"/>
      <c r="G690" s="29"/>
      <c r="H690" s="29"/>
      <c r="I690" s="29"/>
    </row>
    <row r="691" customFormat="false" ht="15" hidden="false" customHeight="false" outlineLevel="0" collapsed="false">
      <c r="A691" s="29"/>
      <c r="B691" s="29"/>
      <c r="C691" s="29"/>
      <c r="D691" s="29"/>
      <c r="E691" s="29"/>
      <c r="F691" s="29"/>
      <c r="G691" s="29"/>
      <c r="H691" s="29"/>
      <c r="I691" s="29"/>
    </row>
    <row r="692" customFormat="false" ht="15" hidden="false" customHeight="false" outlineLevel="0" collapsed="false">
      <c r="A692" s="29"/>
      <c r="B692" s="29"/>
      <c r="C692" s="29"/>
      <c r="D692" s="29"/>
      <c r="E692" s="29"/>
      <c r="F692" s="29"/>
      <c r="G692" s="29"/>
      <c r="H692" s="29"/>
      <c r="I692" s="29"/>
    </row>
    <row r="693" customFormat="false" ht="15" hidden="false" customHeight="false" outlineLevel="0" collapsed="false">
      <c r="A693" s="29"/>
      <c r="B693" s="29"/>
      <c r="C693" s="29"/>
      <c r="D693" s="29"/>
      <c r="E693" s="29"/>
      <c r="F693" s="29"/>
      <c r="G693" s="29"/>
      <c r="H693" s="29"/>
      <c r="I693" s="29"/>
    </row>
    <row r="694" customFormat="false" ht="15" hidden="false" customHeight="false" outlineLevel="0" collapsed="false">
      <c r="A694" s="29"/>
      <c r="B694" s="29"/>
      <c r="C694" s="29"/>
      <c r="D694" s="29"/>
      <c r="E694" s="29"/>
      <c r="F694" s="29"/>
      <c r="G694" s="29"/>
      <c r="H694" s="29"/>
      <c r="I694" s="29"/>
    </row>
    <row r="695" customFormat="false" ht="15" hidden="false" customHeight="false" outlineLevel="0" collapsed="false">
      <c r="A695" s="29"/>
      <c r="B695" s="29"/>
      <c r="C695" s="29"/>
      <c r="D695" s="29"/>
      <c r="E695" s="29"/>
      <c r="F695" s="29"/>
      <c r="G695" s="29"/>
      <c r="H695" s="29"/>
      <c r="I695" s="29"/>
    </row>
    <row r="696" customFormat="false" ht="15" hidden="false" customHeight="false" outlineLevel="0" collapsed="false">
      <c r="A696" s="29"/>
      <c r="B696" s="29"/>
      <c r="C696" s="29"/>
      <c r="D696" s="29"/>
      <c r="E696" s="29"/>
      <c r="F696" s="29"/>
      <c r="G696" s="29"/>
      <c r="H696" s="29"/>
      <c r="I696" s="29"/>
    </row>
    <row r="697" customFormat="false" ht="15" hidden="false" customHeight="false" outlineLevel="0" collapsed="false">
      <c r="A697" s="29"/>
      <c r="B697" s="29"/>
      <c r="C697" s="29"/>
      <c r="D697" s="29"/>
      <c r="E697" s="29"/>
      <c r="F697" s="29"/>
      <c r="G697" s="29"/>
      <c r="H697" s="29"/>
      <c r="I697" s="29"/>
    </row>
    <row r="698" customFormat="false" ht="15" hidden="false" customHeight="false" outlineLevel="0" collapsed="false">
      <c r="A698" s="29"/>
      <c r="B698" s="29"/>
      <c r="C698" s="29"/>
      <c r="D698" s="29"/>
      <c r="E698" s="29"/>
      <c r="F698" s="29"/>
      <c r="G698" s="29"/>
      <c r="H698" s="29"/>
      <c r="I698" s="29"/>
    </row>
    <row r="699" customFormat="false" ht="15" hidden="false" customHeight="false" outlineLevel="0" collapsed="false">
      <c r="A699" s="29"/>
      <c r="B699" s="29"/>
      <c r="C699" s="29"/>
      <c r="D699" s="29"/>
      <c r="E699" s="29"/>
      <c r="F699" s="29"/>
      <c r="G699" s="29"/>
      <c r="H699" s="29"/>
      <c r="I699" s="29"/>
    </row>
    <row r="700" customFormat="false" ht="15" hidden="false" customHeight="false" outlineLevel="0" collapsed="false">
      <c r="A700" s="29"/>
      <c r="B700" s="29"/>
      <c r="C700" s="29"/>
      <c r="D700" s="29"/>
      <c r="E700" s="29"/>
      <c r="F700" s="29"/>
      <c r="G700" s="29"/>
      <c r="H700" s="29"/>
      <c r="I700" s="29"/>
    </row>
    <row r="701" customFormat="false" ht="15" hidden="false" customHeight="false" outlineLevel="0" collapsed="false">
      <c r="A701" s="29"/>
      <c r="B701" s="29"/>
      <c r="C701" s="29"/>
      <c r="D701" s="29"/>
      <c r="E701" s="29"/>
      <c r="F701" s="29"/>
      <c r="G701" s="29"/>
      <c r="H701" s="29"/>
      <c r="I701" s="29"/>
    </row>
    <row r="702" customFormat="false" ht="15" hidden="false" customHeight="false" outlineLevel="0" collapsed="false">
      <c r="A702" s="29"/>
      <c r="B702" s="29"/>
      <c r="C702" s="29"/>
      <c r="D702" s="29"/>
      <c r="E702" s="29"/>
      <c r="F702" s="29"/>
      <c r="G702" s="29"/>
      <c r="H702" s="29"/>
      <c r="I702" s="29"/>
    </row>
    <row r="703" customFormat="false" ht="15" hidden="false" customHeight="false" outlineLevel="0" collapsed="false">
      <c r="A703" s="29"/>
      <c r="B703" s="29"/>
      <c r="C703" s="29"/>
      <c r="D703" s="29"/>
      <c r="E703" s="29"/>
      <c r="F703" s="29"/>
      <c r="G703" s="29"/>
      <c r="H703" s="29"/>
      <c r="I703" s="29"/>
    </row>
    <row r="704" customFormat="false" ht="15" hidden="false" customHeight="false" outlineLevel="0" collapsed="false">
      <c r="A704" s="29"/>
      <c r="B704" s="29"/>
      <c r="C704" s="29"/>
      <c r="D704" s="29"/>
      <c r="E704" s="29"/>
      <c r="F704" s="29"/>
      <c r="G704" s="29"/>
      <c r="H704" s="29"/>
      <c r="I704" s="29"/>
    </row>
    <row r="705" customFormat="false" ht="15" hidden="false" customHeight="false" outlineLevel="0" collapsed="false">
      <c r="A705" s="29"/>
      <c r="B705" s="29"/>
      <c r="C705" s="29"/>
      <c r="D705" s="29"/>
      <c r="E705" s="29"/>
      <c r="F705" s="29"/>
      <c r="G705" s="29"/>
      <c r="H705" s="29"/>
      <c r="I705" s="29"/>
    </row>
    <row r="706" customFormat="false" ht="15" hidden="false" customHeight="false" outlineLevel="0" collapsed="false">
      <c r="A706" s="29"/>
      <c r="B706" s="29"/>
      <c r="C706" s="29"/>
      <c r="D706" s="29"/>
      <c r="E706" s="29"/>
      <c r="F706" s="29"/>
      <c r="G706" s="29"/>
      <c r="H706" s="29"/>
      <c r="I706" s="29"/>
    </row>
    <row r="707" customFormat="false" ht="15" hidden="false" customHeight="false" outlineLevel="0" collapsed="false">
      <c r="A707" s="29"/>
      <c r="B707" s="29"/>
      <c r="C707" s="29"/>
      <c r="D707" s="29"/>
      <c r="E707" s="29"/>
      <c r="F707" s="29"/>
      <c r="G707" s="29"/>
      <c r="H707" s="29"/>
      <c r="I707" s="29"/>
    </row>
    <row r="708" customFormat="false" ht="15" hidden="false" customHeight="false" outlineLevel="0" collapsed="false">
      <c r="A708" s="29"/>
      <c r="B708" s="29"/>
      <c r="C708" s="29"/>
      <c r="D708" s="29"/>
      <c r="E708" s="29"/>
      <c r="F708" s="29"/>
      <c r="G708" s="29"/>
      <c r="H708" s="29"/>
      <c r="I708" s="29"/>
    </row>
    <row r="709" customFormat="false" ht="15" hidden="false" customHeight="false" outlineLevel="0" collapsed="false">
      <c r="A709" s="29"/>
      <c r="B709" s="29"/>
      <c r="C709" s="29"/>
      <c r="D709" s="29"/>
      <c r="E709" s="29"/>
      <c r="F709" s="29"/>
      <c r="G709" s="29"/>
      <c r="H709" s="29"/>
      <c r="I709" s="29"/>
    </row>
    <row r="710" customFormat="false" ht="15" hidden="false" customHeight="false" outlineLevel="0" collapsed="false">
      <c r="A710" s="29"/>
      <c r="B710" s="29"/>
      <c r="C710" s="29"/>
      <c r="D710" s="29"/>
      <c r="E710" s="29"/>
      <c r="F710" s="29"/>
      <c r="G710" s="29"/>
      <c r="H710" s="29"/>
      <c r="I710" s="29"/>
    </row>
    <row r="711" customFormat="false" ht="15" hidden="false" customHeight="false" outlineLevel="0" collapsed="false">
      <c r="A711" s="29"/>
      <c r="B711" s="29"/>
      <c r="C711" s="29"/>
      <c r="D711" s="29"/>
      <c r="E711" s="29"/>
      <c r="F711" s="29"/>
      <c r="G711" s="29"/>
      <c r="H711" s="29"/>
      <c r="I711" s="29"/>
    </row>
    <row r="712" customFormat="false" ht="15" hidden="false" customHeight="false" outlineLevel="0" collapsed="false">
      <c r="A712" s="29"/>
      <c r="B712" s="29"/>
      <c r="C712" s="29"/>
      <c r="D712" s="29"/>
      <c r="E712" s="29"/>
      <c r="F712" s="29"/>
      <c r="G712" s="29"/>
      <c r="H712" s="29"/>
      <c r="I712" s="29"/>
    </row>
    <row r="713" customFormat="false" ht="15" hidden="false" customHeight="false" outlineLevel="0" collapsed="false">
      <c r="A713" s="29"/>
      <c r="B713" s="29"/>
      <c r="C713" s="29"/>
      <c r="D713" s="29"/>
      <c r="E713" s="29"/>
      <c r="F713" s="29"/>
      <c r="G713" s="29"/>
      <c r="H713" s="29"/>
      <c r="I713" s="29"/>
    </row>
    <row r="714" customFormat="false" ht="15" hidden="false" customHeight="false" outlineLevel="0" collapsed="false">
      <c r="A714" s="29"/>
      <c r="B714" s="29"/>
      <c r="C714" s="29"/>
      <c r="D714" s="29"/>
      <c r="E714" s="29"/>
      <c r="F714" s="29"/>
      <c r="G714" s="29"/>
      <c r="H714" s="29"/>
      <c r="I714" s="29"/>
    </row>
    <row r="715" customFormat="false" ht="15" hidden="false" customHeight="false" outlineLevel="0" collapsed="false">
      <c r="A715" s="29"/>
      <c r="B715" s="29"/>
      <c r="C715" s="29"/>
      <c r="D715" s="29"/>
      <c r="E715" s="29"/>
      <c r="F715" s="29"/>
      <c r="G715" s="29"/>
      <c r="H715" s="29"/>
      <c r="I715" s="29"/>
    </row>
    <row r="716" customFormat="false" ht="15" hidden="false" customHeight="false" outlineLevel="0" collapsed="false">
      <c r="A716" s="29"/>
      <c r="B716" s="29"/>
      <c r="C716" s="29"/>
      <c r="D716" s="29"/>
      <c r="E716" s="29"/>
      <c r="F716" s="29"/>
      <c r="G716" s="29"/>
      <c r="H716" s="29"/>
      <c r="I716" s="29"/>
    </row>
    <row r="717" customFormat="false" ht="15" hidden="false" customHeight="false" outlineLevel="0" collapsed="false">
      <c r="A717" s="29"/>
      <c r="B717" s="29"/>
      <c r="C717" s="29"/>
      <c r="D717" s="29"/>
      <c r="E717" s="29"/>
      <c r="F717" s="29"/>
      <c r="G717" s="29"/>
      <c r="H717" s="29"/>
      <c r="I717" s="29"/>
    </row>
    <row r="718" customFormat="false" ht="15" hidden="false" customHeight="false" outlineLevel="0" collapsed="false">
      <c r="A718" s="29"/>
      <c r="B718" s="29"/>
      <c r="C718" s="29"/>
      <c r="D718" s="29"/>
      <c r="E718" s="29"/>
      <c r="F718" s="29"/>
      <c r="G718" s="29"/>
      <c r="H718" s="29"/>
      <c r="I718" s="29"/>
    </row>
    <row r="719" customFormat="false" ht="15" hidden="false" customHeight="false" outlineLevel="0" collapsed="false">
      <c r="A719" s="29"/>
      <c r="B719" s="29"/>
      <c r="C719" s="29"/>
      <c r="D719" s="29"/>
      <c r="E719" s="29"/>
      <c r="F719" s="29"/>
      <c r="G719" s="29"/>
      <c r="H719" s="29"/>
      <c r="I719" s="29"/>
    </row>
    <row r="720" customFormat="false" ht="15" hidden="false" customHeight="false" outlineLevel="0" collapsed="false">
      <c r="A720" s="29"/>
      <c r="B720" s="29"/>
      <c r="C720" s="29"/>
      <c r="D720" s="29"/>
      <c r="E720" s="29"/>
      <c r="F720" s="29"/>
      <c r="G720" s="29"/>
      <c r="H720" s="29"/>
      <c r="I720" s="29"/>
    </row>
    <row r="721" customFormat="false" ht="15" hidden="false" customHeight="false" outlineLevel="0" collapsed="false">
      <c r="A721" s="29"/>
      <c r="B721" s="29"/>
      <c r="C721" s="29"/>
      <c r="D721" s="29"/>
      <c r="E721" s="29"/>
      <c r="F721" s="29"/>
      <c r="G721" s="29"/>
      <c r="H721" s="29"/>
      <c r="I721" s="29"/>
    </row>
    <row r="722" customFormat="false" ht="15" hidden="false" customHeight="false" outlineLevel="0" collapsed="false">
      <c r="A722" s="29"/>
      <c r="B722" s="29"/>
      <c r="C722" s="29"/>
      <c r="D722" s="29"/>
      <c r="E722" s="29"/>
      <c r="F722" s="29"/>
      <c r="G722" s="29"/>
      <c r="H722" s="29"/>
      <c r="I722" s="29"/>
    </row>
    <row r="723" customFormat="false" ht="15" hidden="false" customHeight="false" outlineLevel="0" collapsed="false">
      <c r="A723" s="29"/>
      <c r="B723" s="29"/>
      <c r="C723" s="29"/>
      <c r="D723" s="29"/>
      <c r="E723" s="29"/>
      <c r="F723" s="29"/>
      <c r="G723" s="29"/>
      <c r="H723" s="29"/>
      <c r="I723" s="29"/>
    </row>
    <row r="724" customFormat="false" ht="15" hidden="false" customHeight="false" outlineLevel="0" collapsed="false">
      <c r="A724" s="29"/>
      <c r="B724" s="29"/>
      <c r="C724" s="29"/>
      <c r="D724" s="29"/>
      <c r="E724" s="29"/>
      <c r="F724" s="29"/>
      <c r="G724" s="29"/>
      <c r="H724" s="29"/>
      <c r="I724" s="29"/>
    </row>
    <row r="725" customFormat="false" ht="15" hidden="false" customHeight="false" outlineLevel="0" collapsed="false">
      <c r="A725" s="29"/>
      <c r="B725" s="29"/>
      <c r="C725" s="29"/>
      <c r="D725" s="29"/>
      <c r="E725" s="29"/>
      <c r="F725" s="29"/>
      <c r="G725" s="29"/>
      <c r="H725" s="29"/>
      <c r="I725" s="29"/>
    </row>
    <row r="726" customFormat="false" ht="15" hidden="false" customHeight="false" outlineLevel="0" collapsed="false">
      <c r="A726" s="29"/>
      <c r="B726" s="29"/>
      <c r="C726" s="29"/>
      <c r="D726" s="29"/>
      <c r="E726" s="29"/>
      <c r="F726" s="29"/>
      <c r="G726" s="29"/>
      <c r="H726" s="29"/>
      <c r="I726" s="29"/>
    </row>
    <row r="727" customFormat="false" ht="15" hidden="false" customHeight="false" outlineLevel="0" collapsed="false">
      <c r="A727" s="29"/>
      <c r="B727" s="29"/>
      <c r="C727" s="29"/>
      <c r="D727" s="29"/>
      <c r="E727" s="29"/>
      <c r="F727" s="29"/>
      <c r="G727" s="29"/>
      <c r="H727" s="29"/>
      <c r="I727" s="29"/>
    </row>
    <row r="728" customFormat="false" ht="15" hidden="false" customHeight="false" outlineLevel="0" collapsed="false">
      <c r="A728" s="29"/>
      <c r="B728" s="29"/>
      <c r="C728" s="29"/>
      <c r="D728" s="29"/>
      <c r="E728" s="29"/>
      <c r="F728" s="29"/>
      <c r="G728" s="29"/>
      <c r="H728" s="29"/>
      <c r="I728" s="29"/>
    </row>
    <row r="729" customFormat="false" ht="15" hidden="false" customHeight="false" outlineLevel="0" collapsed="false">
      <c r="A729" s="29"/>
      <c r="B729" s="29"/>
      <c r="C729" s="29"/>
      <c r="D729" s="29"/>
      <c r="E729" s="29"/>
      <c r="F729" s="29"/>
      <c r="G729" s="29"/>
      <c r="H729" s="29"/>
      <c r="I729" s="29"/>
    </row>
    <row r="730" customFormat="false" ht="15" hidden="false" customHeight="false" outlineLevel="0" collapsed="false">
      <c r="A730" s="29"/>
      <c r="B730" s="29"/>
      <c r="C730" s="29"/>
      <c r="D730" s="29"/>
      <c r="E730" s="29"/>
      <c r="F730" s="29"/>
      <c r="G730" s="29"/>
      <c r="H730" s="29"/>
      <c r="I730" s="29"/>
    </row>
    <row r="731" customFormat="false" ht="15" hidden="false" customHeight="false" outlineLevel="0" collapsed="false">
      <c r="A731" s="29"/>
      <c r="B731" s="29"/>
      <c r="C731" s="29"/>
      <c r="D731" s="29"/>
      <c r="E731" s="29"/>
      <c r="F731" s="29"/>
      <c r="G731" s="29"/>
      <c r="H731" s="29"/>
      <c r="I731" s="29"/>
    </row>
    <row r="732" customFormat="false" ht="15" hidden="false" customHeight="false" outlineLevel="0" collapsed="false">
      <c r="A732" s="29"/>
      <c r="B732" s="29"/>
      <c r="C732" s="29"/>
      <c r="D732" s="29"/>
      <c r="E732" s="29"/>
      <c r="F732" s="29"/>
      <c r="G732" s="29"/>
      <c r="H732" s="29"/>
      <c r="I732" s="29"/>
    </row>
    <row r="733" customFormat="false" ht="15" hidden="false" customHeight="false" outlineLevel="0" collapsed="false">
      <c r="A733" s="29"/>
      <c r="B733" s="29"/>
      <c r="C733" s="29"/>
      <c r="D733" s="29"/>
      <c r="E733" s="29"/>
      <c r="F733" s="29"/>
      <c r="G733" s="29"/>
      <c r="H733" s="29"/>
      <c r="I733" s="29"/>
    </row>
    <row r="734" customFormat="false" ht="15" hidden="false" customHeight="false" outlineLevel="0" collapsed="false">
      <c r="A734" s="29"/>
      <c r="B734" s="29"/>
      <c r="C734" s="29"/>
      <c r="D734" s="29"/>
      <c r="E734" s="29"/>
      <c r="F734" s="29"/>
      <c r="G734" s="29"/>
      <c r="H734" s="29"/>
      <c r="I734" s="29"/>
    </row>
    <row r="735" customFormat="false" ht="15" hidden="false" customHeight="false" outlineLevel="0" collapsed="false">
      <c r="A735" s="29"/>
      <c r="B735" s="29"/>
      <c r="C735" s="29"/>
      <c r="D735" s="29"/>
      <c r="E735" s="29"/>
      <c r="F735" s="29"/>
      <c r="G735" s="29"/>
      <c r="H735" s="29"/>
      <c r="I735" s="29"/>
    </row>
    <row r="736" customFormat="false" ht="15" hidden="false" customHeight="false" outlineLevel="0" collapsed="false">
      <c r="A736" s="29"/>
      <c r="B736" s="29"/>
      <c r="C736" s="29"/>
      <c r="D736" s="29"/>
      <c r="E736" s="29"/>
      <c r="F736" s="29"/>
      <c r="G736" s="29"/>
      <c r="H736" s="29"/>
      <c r="I736" s="29"/>
    </row>
    <row r="737" customFormat="false" ht="15" hidden="false" customHeight="false" outlineLevel="0" collapsed="false">
      <c r="A737" s="29"/>
      <c r="B737" s="29"/>
      <c r="C737" s="29"/>
      <c r="D737" s="29"/>
      <c r="E737" s="29"/>
      <c r="F737" s="29"/>
      <c r="G737" s="29"/>
      <c r="H737" s="29"/>
      <c r="I737" s="29"/>
    </row>
    <row r="738" customFormat="false" ht="15" hidden="false" customHeight="false" outlineLevel="0" collapsed="false">
      <c r="A738" s="29"/>
      <c r="B738" s="29"/>
      <c r="C738" s="29"/>
      <c r="D738" s="29"/>
      <c r="E738" s="29"/>
      <c r="F738" s="29"/>
      <c r="G738" s="29"/>
      <c r="H738" s="29"/>
      <c r="I738" s="29"/>
    </row>
    <row r="739" customFormat="false" ht="15" hidden="false" customHeight="false" outlineLevel="0" collapsed="false">
      <c r="A739" s="29"/>
      <c r="B739" s="29"/>
      <c r="C739" s="29"/>
      <c r="D739" s="29"/>
      <c r="E739" s="29"/>
      <c r="F739" s="29"/>
      <c r="G739" s="29"/>
      <c r="H739" s="29"/>
      <c r="I739" s="29"/>
    </row>
    <row r="740" customFormat="false" ht="15" hidden="false" customHeight="false" outlineLevel="0" collapsed="false">
      <c r="A740" s="29"/>
      <c r="B740" s="29"/>
      <c r="C740" s="29"/>
      <c r="D740" s="29"/>
      <c r="E740" s="29"/>
      <c r="F740" s="29"/>
      <c r="G740" s="29"/>
      <c r="H740" s="29"/>
      <c r="I740" s="29"/>
    </row>
    <row r="741" customFormat="false" ht="15" hidden="false" customHeight="false" outlineLevel="0" collapsed="false">
      <c r="A741" s="29"/>
      <c r="B741" s="29"/>
      <c r="C741" s="29"/>
      <c r="D741" s="29"/>
      <c r="E741" s="29"/>
      <c r="F741" s="29"/>
      <c r="G741" s="29"/>
      <c r="H741" s="29"/>
      <c r="I741" s="29"/>
    </row>
    <row r="742" customFormat="false" ht="15" hidden="false" customHeight="false" outlineLevel="0" collapsed="false">
      <c r="A742" s="29"/>
      <c r="B742" s="29"/>
      <c r="C742" s="29"/>
      <c r="D742" s="29"/>
      <c r="E742" s="29"/>
      <c r="F742" s="29"/>
      <c r="G742" s="29"/>
      <c r="H742" s="29"/>
      <c r="I742" s="29"/>
    </row>
    <row r="743" customFormat="false" ht="15" hidden="false" customHeight="false" outlineLevel="0" collapsed="false">
      <c r="A743" s="29"/>
      <c r="B743" s="29"/>
      <c r="C743" s="29"/>
      <c r="D743" s="29"/>
      <c r="E743" s="29"/>
      <c r="F743" s="29"/>
      <c r="G743" s="29"/>
      <c r="H743" s="29"/>
      <c r="I743" s="29"/>
    </row>
    <row r="744" customFormat="false" ht="15" hidden="false" customHeight="false" outlineLevel="0" collapsed="false">
      <c r="A744" s="29"/>
      <c r="B744" s="29"/>
      <c r="C744" s="29"/>
      <c r="D744" s="29"/>
      <c r="E744" s="29"/>
      <c r="F744" s="29"/>
      <c r="G744" s="29"/>
      <c r="H744" s="29"/>
      <c r="I744" s="29"/>
    </row>
    <row r="745" customFormat="false" ht="15" hidden="false" customHeight="false" outlineLevel="0" collapsed="false">
      <c r="A745" s="29"/>
      <c r="B745" s="29"/>
      <c r="C745" s="29"/>
      <c r="D745" s="29"/>
      <c r="E745" s="29"/>
      <c r="F745" s="29"/>
      <c r="G745" s="29"/>
      <c r="H745" s="29"/>
      <c r="I745" s="29"/>
    </row>
    <row r="746" customFormat="false" ht="15" hidden="false" customHeight="false" outlineLevel="0" collapsed="false">
      <c r="A746" s="29"/>
      <c r="B746" s="29"/>
      <c r="C746" s="29"/>
      <c r="D746" s="29"/>
      <c r="E746" s="29"/>
      <c r="F746" s="29"/>
      <c r="G746" s="29"/>
      <c r="H746" s="29"/>
      <c r="I746" s="29"/>
    </row>
    <row r="747" customFormat="false" ht="15" hidden="false" customHeight="false" outlineLevel="0" collapsed="false">
      <c r="A747" s="29"/>
      <c r="B747" s="29"/>
      <c r="C747" s="29"/>
      <c r="D747" s="29"/>
      <c r="E747" s="29"/>
      <c r="F747" s="29"/>
      <c r="G747" s="29"/>
      <c r="H747" s="29"/>
      <c r="I747" s="29"/>
    </row>
    <row r="748" customFormat="false" ht="15" hidden="false" customHeight="false" outlineLevel="0" collapsed="false">
      <c r="A748" s="29"/>
      <c r="B748" s="29"/>
      <c r="C748" s="29"/>
      <c r="D748" s="29"/>
      <c r="E748" s="29"/>
      <c r="F748" s="29"/>
      <c r="G748" s="29"/>
      <c r="H748" s="29"/>
      <c r="I748" s="29"/>
    </row>
    <row r="749" customFormat="false" ht="15" hidden="false" customHeight="false" outlineLevel="0" collapsed="false">
      <c r="A749" s="29"/>
      <c r="B749" s="29"/>
      <c r="C749" s="29"/>
      <c r="D749" s="29"/>
      <c r="E749" s="29"/>
      <c r="F749" s="29"/>
      <c r="G749" s="29"/>
      <c r="H749" s="29"/>
      <c r="I749" s="29"/>
    </row>
    <row r="750" customFormat="false" ht="15" hidden="false" customHeight="false" outlineLevel="0" collapsed="false">
      <c r="A750" s="29"/>
      <c r="B750" s="29"/>
      <c r="C750" s="29"/>
      <c r="D750" s="29"/>
      <c r="E750" s="29"/>
      <c r="F750" s="29"/>
      <c r="G750" s="29"/>
      <c r="H750" s="29"/>
      <c r="I750" s="29"/>
    </row>
    <row r="751" customFormat="false" ht="15" hidden="false" customHeight="false" outlineLevel="0" collapsed="false">
      <c r="A751" s="29"/>
      <c r="B751" s="29"/>
      <c r="C751" s="29"/>
      <c r="D751" s="29"/>
      <c r="E751" s="29"/>
      <c r="F751" s="29"/>
      <c r="G751" s="29"/>
      <c r="H751" s="29"/>
      <c r="I751" s="29"/>
    </row>
    <row r="752" customFormat="false" ht="15" hidden="false" customHeight="false" outlineLevel="0" collapsed="false">
      <c r="A752" s="29"/>
      <c r="B752" s="29"/>
      <c r="C752" s="29"/>
      <c r="D752" s="29"/>
      <c r="E752" s="29"/>
      <c r="F752" s="29"/>
      <c r="G752" s="29"/>
      <c r="H752" s="29"/>
      <c r="I752" s="29"/>
    </row>
    <row r="753" customFormat="false" ht="15" hidden="false" customHeight="false" outlineLevel="0" collapsed="false">
      <c r="A753" s="29"/>
      <c r="B753" s="29"/>
      <c r="C753" s="29"/>
      <c r="D753" s="29"/>
      <c r="E753" s="29"/>
      <c r="F753" s="29"/>
      <c r="G753" s="29"/>
      <c r="H753" s="29"/>
      <c r="I753" s="29"/>
    </row>
    <row r="754" customFormat="false" ht="15" hidden="false" customHeight="false" outlineLevel="0" collapsed="false">
      <c r="A754" s="29"/>
      <c r="B754" s="29"/>
      <c r="C754" s="29"/>
      <c r="D754" s="29"/>
      <c r="E754" s="29"/>
      <c r="F754" s="29"/>
      <c r="G754" s="29"/>
      <c r="H754" s="29"/>
      <c r="I754" s="29"/>
    </row>
    <row r="755" customFormat="false" ht="15" hidden="false" customHeight="false" outlineLevel="0" collapsed="false">
      <c r="A755" s="29"/>
      <c r="B755" s="29"/>
      <c r="C755" s="29"/>
      <c r="D755" s="29"/>
      <c r="E755" s="29"/>
      <c r="F755" s="29"/>
      <c r="G755" s="29"/>
      <c r="H755" s="29"/>
      <c r="I755" s="29"/>
    </row>
    <row r="756" customFormat="false" ht="15" hidden="false" customHeight="false" outlineLevel="0" collapsed="false">
      <c r="A756" s="29"/>
      <c r="B756" s="29"/>
      <c r="C756" s="29"/>
      <c r="D756" s="29"/>
      <c r="E756" s="29"/>
      <c r="F756" s="29"/>
      <c r="G756" s="29"/>
      <c r="H756" s="29"/>
      <c r="I756" s="29"/>
    </row>
    <row r="757" customFormat="false" ht="15" hidden="false" customHeight="false" outlineLevel="0" collapsed="false">
      <c r="A757" s="29"/>
      <c r="B757" s="29"/>
      <c r="C757" s="29"/>
      <c r="D757" s="29"/>
      <c r="E757" s="29"/>
      <c r="F757" s="29"/>
      <c r="G757" s="29"/>
      <c r="H757" s="29"/>
      <c r="I757" s="29"/>
    </row>
    <row r="758" customFormat="false" ht="15" hidden="false" customHeight="false" outlineLevel="0" collapsed="false">
      <c r="A758" s="29"/>
      <c r="B758" s="29"/>
      <c r="C758" s="29"/>
      <c r="D758" s="29"/>
      <c r="E758" s="29"/>
      <c r="F758" s="29"/>
      <c r="G758" s="29"/>
      <c r="H758" s="29"/>
      <c r="I758" s="29"/>
    </row>
    <row r="759" customFormat="false" ht="15" hidden="false" customHeight="false" outlineLevel="0" collapsed="false">
      <c r="A759" s="29"/>
      <c r="B759" s="29"/>
      <c r="C759" s="29"/>
      <c r="D759" s="29"/>
      <c r="E759" s="29"/>
      <c r="F759" s="29"/>
      <c r="G759" s="29"/>
      <c r="H759" s="29"/>
      <c r="I759" s="29"/>
    </row>
    <row r="760" customFormat="false" ht="15" hidden="false" customHeight="false" outlineLevel="0" collapsed="false">
      <c r="A760" s="29"/>
      <c r="B760" s="29"/>
      <c r="C760" s="29"/>
      <c r="D760" s="29"/>
      <c r="E760" s="29"/>
      <c r="F760" s="29"/>
      <c r="G760" s="29"/>
      <c r="H760" s="29"/>
      <c r="I760" s="29"/>
    </row>
    <row r="761" customFormat="false" ht="15" hidden="false" customHeight="false" outlineLevel="0" collapsed="false">
      <c r="A761" s="29"/>
      <c r="B761" s="29"/>
      <c r="C761" s="29"/>
      <c r="D761" s="29"/>
      <c r="E761" s="29"/>
      <c r="F761" s="29"/>
      <c r="G761" s="29"/>
      <c r="H761" s="29"/>
      <c r="I761" s="29"/>
    </row>
    <row r="762" customFormat="false" ht="15" hidden="false" customHeight="false" outlineLevel="0" collapsed="false">
      <c r="A762" s="29"/>
      <c r="B762" s="29"/>
      <c r="C762" s="29"/>
      <c r="D762" s="29"/>
      <c r="E762" s="29"/>
      <c r="F762" s="29"/>
      <c r="G762" s="29"/>
      <c r="H762" s="29"/>
      <c r="I762" s="29"/>
    </row>
    <row r="763" customFormat="false" ht="15" hidden="false" customHeight="false" outlineLevel="0" collapsed="false">
      <c r="A763" s="29"/>
      <c r="B763" s="29"/>
      <c r="C763" s="29"/>
      <c r="D763" s="29"/>
      <c r="E763" s="29"/>
      <c r="F763" s="29"/>
      <c r="G763" s="29"/>
      <c r="H763" s="29"/>
      <c r="I763" s="29"/>
    </row>
    <row r="764" customFormat="false" ht="15" hidden="false" customHeight="false" outlineLevel="0" collapsed="false">
      <c r="A764" s="29"/>
      <c r="B764" s="29"/>
      <c r="C764" s="29"/>
      <c r="D764" s="29"/>
      <c r="E764" s="29"/>
      <c r="F764" s="29"/>
      <c r="G764" s="29"/>
      <c r="H764" s="29"/>
      <c r="I764" s="29"/>
    </row>
    <row r="765" customFormat="false" ht="15" hidden="false" customHeight="false" outlineLevel="0" collapsed="false">
      <c r="A765" s="29"/>
      <c r="B765" s="29"/>
      <c r="C765" s="29"/>
      <c r="D765" s="29"/>
      <c r="E765" s="29"/>
      <c r="F765" s="29"/>
      <c r="G765" s="29"/>
      <c r="H765" s="29"/>
      <c r="I765" s="29"/>
    </row>
    <row r="766" customFormat="false" ht="15" hidden="false" customHeight="false" outlineLevel="0" collapsed="false">
      <c r="A766" s="29"/>
      <c r="B766" s="29"/>
      <c r="C766" s="29"/>
      <c r="D766" s="29"/>
      <c r="E766" s="29"/>
      <c r="F766" s="29"/>
      <c r="G766" s="29"/>
      <c r="H766" s="29"/>
      <c r="I766" s="29"/>
    </row>
    <row r="767" customFormat="false" ht="15" hidden="false" customHeight="false" outlineLevel="0" collapsed="false">
      <c r="A767" s="29"/>
      <c r="B767" s="29"/>
      <c r="C767" s="29"/>
      <c r="D767" s="29"/>
      <c r="E767" s="29"/>
      <c r="F767" s="29"/>
      <c r="G767" s="29"/>
      <c r="H767" s="29"/>
      <c r="I767" s="29"/>
    </row>
    <row r="768" customFormat="false" ht="15" hidden="false" customHeight="false" outlineLevel="0" collapsed="false">
      <c r="A768" s="29"/>
      <c r="B768" s="29"/>
      <c r="C768" s="29"/>
      <c r="D768" s="29"/>
      <c r="E768" s="29"/>
      <c r="F768" s="29"/>
      <c r="G768" s="29"/>
      <c r="H768" s="29"/>
      <c r="I768" s="29"/>
    </row>
    <row r="769" customFormat="false" ht="15" hidden="false" customHeight="false" outlineLevel="0" collapsed="false">
      <c r="A769" s="29"/>
      <c r="B769" s="29"/>
      <c r="C769" s="29"/>
      <c r="D769" s="29"/>
      <c r="E769" s="29"/>
      <c r="F769" s="29"/>
      <c r="G769" s="29"/>
      <c r="H769" s="29"/>
      <c r="I769" s="29"/>
    </row>
    <row r="770" customFormat="false" ht="15" hidden="false" customHeight="false" outlineLevel="0" collapsed="false">
      <c r="A770" s="29"/>
      <c r="B770" s="29"/>
      <c r="C770" s="29"/>
      <c r="D770" s="29"/>
      <c r="E770" s="29"/>
      <c r="F770" s="29"/>
      <c r="G770" s="29"/>
      <c r="H770" s="29"/>
      <c r="I770" s="29"/>
    </row>
    <row r="771" customFormat="false" ht="15" hidden="false" customHeight="false" outlineLevel="0" collapsed="false">
      <c r="A771" s="29"/>
      <c r="B771" s="29"/>
      <c r="C771" s="29"/>
      <c r="D771" s="29"/>
      <c r="E771" s="29"/>
      <c r="F771" s="29"/>
      <c r="G771" s="29"/>
      <c r="H771" s="29"/>
      <c r="I771" s="29"/>
    </row>
    <row r="772" customFormat="false" ht="15" hidden="false" customHeight="false" outlineLevel="0" collapsed="false">
      <c r="A772" s="29"/>
      <c r="B772" s="29"/>
      <c r="C772" s="29"/>
      <c r="D772" s="29"/>
      <c r="E772" s="29"/>
      <c r="F772" s="29"/>
      <c r="G772" s="29"/>
      <c r="H772" s="29"/>
      <c r="I772" s="29"/>
    </row>
    <row r="773" customFormat="false" ht="15" hidden="false" customHeight="false" outlineLevel="0" collapsed="false">
      <c r="A773" s="29"/>
      <c r="B773" s="29"/>
      <c r="C773" s="29"/>
      <c r="D773" s="29"/>
      <c r="E773" s="29"/>
      <c r="F773" s="29"/>
      <c r="G773" s="29"/>
      <c r="H773" s="29"/>
      <c r="I773" s="29"/>
    </row>
    <row r="774" customFormat="false" ht="15" hidden="false" customHeight="false" outlineLevel="0" collapsed="false">
      <c r="A774" s="29"/>
      <c r="B774" s="29"/>
      <c r="C774" s="29"/>
      <c r="D774" s="29"/>
      <c r="E774" s="29"/>
      <c r="F774" s="29"/>
      <c r="G774" s="29"/>
      <c r="H774" s="29"/>
      <c r="I774" s="29"/>
    </row>
    <row r="775" customFormat="false" ht="15" hidden="false" customHeight="false" outlineLevel="0" collapsed="false">
      <c r="A775" s="29"/>
      <c r="B775" s="29"/>
      <c r="C775" s="29"/>
      <c r="D775" s="29"/>
      <c r="E775" s="29"/>
      <c r="F775" s="29"/>
      <c r="G775" s="29"/>
      <c r="H775" s="29"/>
      <c r="I775" s="29"/>
    </row>
    <row r="776" customFormat="false" ht="15" hidden="false" customHeight="false" outlineLevel="0" collapsed="false">
      <c r="A776" s="29"/>
      <c r="B776" s="29"/>
      <c r="C776" s="29"/>
      <c r="D776" s="29"/>
      <c r="E776" s="29"/>
      <c r="F776" s="29"/>
      <c r="G776" s="29"/>
      <c r="H776" s="29"/>
      <c r="I776" s="29"/>
    </row>
    <row r="777" customFormat="false" ht="15" hidden="false" customHeight="false" outlineLevel="0" collapsed="false">
      <c r="A777" s="29"/>
      <c r="B777" s="29"/>
      <c r="C777" s="29"/>
      <c r="D777" s="29"/>
      <c r="E777" s="29"/>
      <c r="F777" s="29"/>
      <c r="G777" s="29"/>
      <c r="H777" s="29"/>
      <c r="I777" s="29"/>
    </row>
    <row r="778" customFormat="false" ht="15" hidden="false" customHeight="false" outlineLevel="0" collapsed="false">
      <c r="A778" s="29"/>
      <c r="B778" s="29"/>
      <c r="C778" s="29"/>
      <c r="D778" s="29"/>
      <c r="E778" s="29"/>
      <c r="F778" s="29"/>
      <c r="G778" s="29"/>
      <c r="H778" s="29"/>
      <c r="I778" s="29"/>
    </row>
    <row r="779" customFormat="false" ht="15" hidden="false" customHeight="false" outlineLevel="0" collapsed="false">
      <c r="A779" s="29"/>
      <c r="B779" s="29"/>
      <c r="C779" s="29"/>
      <c r="D779" s="29"/>
      <c r="E779" s="29"/>
      <c r="F779" s="29"/>
      <c r="G779" s="29"/>
      <c r="H779" s="29"/>
      <c r="I779" s="29"/>
    </row>
    <row r="780" customFormat="false" ht="15" hidden="false" customHeight="false" outlineLevel="0" collapsed="false">
      <c r="A780" s="29"/>
      <c r="B780" s="29"/>
      <c r="C780" s="29"/>
      <c r="D780" s="29"/>
      <c r="E780" s="29"/>
      <c r="F780" s="29"/>
      <c r="G780" s="29"/>
      <c r="H780" s="29"/>
      <c r="I780" s="29"/>
    </row>
    <row r="781" customFormat="false" ht="15" hidden="false" customHeight="false" outlineLevel="0" collapsed="false">
      <c r="A781" s="29"/>
      <c r="B781" s="29"/>
      <c r="C781" s="29"/>
      <c r="D781" s="29"/>
      <c r="E781" s="29"/>
      <c r="F781" s="29"/>
      <c r="G781" s="29"/>
      <c r="H781" s="29"/>
      <c r="I781" s="29"/>
    </row>
    <row r="782" customFormat="false" ht="15" hidden="false" customHeight="false" outlineLevel="0" collapsed="false">
      <c r="A782" s="29"/>
      <c r="B782" s="29"/>
      <c r="C782" s="29"/>
      <c r="D782" s="29"/>
      <c r="E782" s="29"/>
      <c r="F782" s="29"/>
      <c r="G782" s="29"/>
      <c r="H782" s="29"/>
      <c r="I782" s="29"/>
    </row>
    <row r="783" customFormat="false" ht="15" hidden="false" customHeight="false" outlineLevel="0" collapsed="false">
      <c r="A783" s="29"/>
      <c r="B783" s="29"/>
      <c r="C783" s="29"/>
      <c r="D783" s="29"/>
      <c r="E783" s="29"/>
      <c r="F783" s="29"/>
      <c r="G783" s="29"/>
      <c r="H783" s="29"/>
      <c r="I783" s="29"/>
    </row>
    <row r="784" customFormat="false" ht="15" hidden="false" customHeight="false" outlineLevel="0" collapsed="false">
      <c r="A784" s="29"/>
      <c r="B784" s="29"/>
      <c r="C784" s="29"/>
      <c r="D784" s="29"/>
      <c r="E784" s="29"/>
      <c r="F784" s="29"/>
      <c r="G784" s="29"/>
      <c r="H784" s="29"/>
      <c r="I784" s="29"/>
    </row>
    <row r="785" customFormat="false" ht="15" hidden="false" customHeight="false" outlineLevel="0" collapsed="false">
      <c r="A785" s="29"/>
      <c r="B785" s="29"/>
      <c r="C785" s="29"/>
      <c r="D785" s="29"/>
      <c r="E785" s="29"/>
      <c r="F785" s="29"/>
      <c r="G785" s="29"/>
      <c r="H785" s="29"/>
      <c r="I785" s="29"/>
    </row>
    <row r="786" customFormat="false" ht="15" hidden="false" customHeight="false" outlineLevel="0" collapsed="false">
      <c r="A786" s="29"/>
      <c r="B786" s="29"/>
      <c r="C786" s="29"/>
      <c r="D786" s="29"/>
      <c r="E786" s="29"/>
      <c r="F786" s="29"/>
      <c r="G786" s="29"/>
      <c r="H786" s="29"/>
      <c r="I786" s="29"/>
    </row>
    <row r="787" customFormat="false" ht="15" hidden="false" customHeight="false" outlineLevel="0" collapsed="false">
      <c r="A787" s="29"/>
      <c r="B787" s="29"/>
      <c r="C787" s="29"/>
      <c r="D787" s="29"/>
      <c r="E787" s="29"/>
      <c r="F787" s="29"/>
      <c r="G787" s="29"/>
      <c r="H787" s="29"/>
      <c r="I787" s="29"/>
    </row>
    <row r="788" customFormat="false" ht="15" hidden="false" customHeight="false" outlineLevel="0" collapsed="false">
      <c r="A788" s="29"/>
      <c r="B788" s="29"/>
      <c r="C788" s="29"/>
      <c r="D788" s="29"/>
      <c r="E788" s="29"/>
      <c r="F788" s="29"/>
      <c r="G788" s="29"/>
      <c r="H788" s="29"/>
      <c r="I788" s="29"/>
    </row>
    <row r="789" customFormat="false" ht="15" hidden="false" customHeight="false" outlineLevel="0" collapsed="false">
      <c r="A789" s="29"/>
      <c r="B789" s="29"/>
      <c r="C789" s="29"/>
      <c r="D789" s="29"/>
      <c r="E789" s="29"/>
      <c r="F789" s="29"/>
      <c r="G789" s="29"/>
      <c r="H789" s="29"/>
      <c r="I789" s="29"/>
    </row>
    <row r="790" customFormat="false" ht="15" hidden="false" customHeight="false" outlineLevel="0" collapsed="false">
      <c r="A790" s="29"/>
      <c r="B790" s="29"/>
      <c r="C790" s="29"/>
      <c r="D790" s="29"/>
      <c r="E790" s="29"/>
      <c r="F790" s="29"/>
      <c r="G790" s="29"/>
      <c r="H790" s="29"/>
      <c r="I790" s="29"/>
    </row>
    <row r="791" customFormat="false" ht="15" hidden="false" customHeight="false" outlineLevel="0" collapsed="false">
      <c r="A791" s="29"/>
      <c r="B791" s="29"/>
      <c r="C791" s="29"/>
      <c r="D791" s="29"/>
      <c r="E791" s="29"/>
      <c r="F791" s="29"/>
      <c r="G791" s="29"/>
      <c r="H791" s="29"/>
      <c r="I791" s="29"/>
    </row>
    <row r="792" customFormat="false" ht="15" hidden="false" customHeight="false" outlineLevel="0" collapsed="false">
      <c r="A792" s="29"/>
      <c r="B792" s="29"/>
      <c r="C792" s="29"/>
      <c r="D792" s="29"/>
      <c r="E792" s="29"/>
      <c r="F792" s="29"/>
      <c r="G792" s="29"/>
      <c r="H792" s="29"/>
      <c r="I792" s="29"/>
    </row>
    <row r="793" customFormat="false" ht="15" hidden="false" customHeight="false" outlineLevel="0" collapsed="false">
      <c r="A793" s="29"/>
      <c r="B793" s="29"/>
      <c r="C793" s="29"/>
      <c r="D793" s="29"/>
      <c r="E793" s="29"/>
      <c r="F793" s="29"/>
      <c r="G793" s="29"/>
      <c r="H793" s="29"/>
      <c r="I793" s="29"/>
    </row>
    <row r="794" customFormat="false" ht="15" hidden="false" customHeight="false" outlineLevel="0" collapsed="false">
      <c r="A794" s="29"/>
      <c r="B794" s="29"/>
      <c r="C794" s="29"/>
      <c r="D794" s="29"/>
      <c r="E794" s="29"/>
      <c r="F794" s="29"/>
      <c r="G794" s="29"/>
      <c r="H794" s="29"/>
      <c r="I794" s="29"/>
    </row>
    <row r="795" customFormat="false" ht="15" hidden="false" customHeight="false" outlineLevel="0" collapsed="false">
      <c r="A795" s="29"/>
      <c r="B795" s="29"/>
      <c r="C795" s="29"/>
      <c r="D795" s="29"/>
      <c r="E795" s="29"/>
      <c r="F795" s="29"/>
      <c r="G795" s="29"/>
      <c r="H795" s="29"/>
      <c r="I795" s="29"/>
    </row>
    <row r="796" customFormat="false" ht="15" hidden="false" customHeight="false" outlineLevel="0" collapsed="false">
      <c r="A796" s="29"/>
      <c r="B796" s="29"/>
      <c r="C796" s="29"/>
      <c r="D796" s="29"/>
      <c r="E796" s="29"/>
      <c r="F796" s="29"/>
      <c r="G796" s="29"/>
      <c r="H796" s="29"/>
      <c r="I796" s="29"/>
    </row>
    <row r="797" customFormat="false" ht="15" hidden="false" customHeight="false" outlineLevel="0" collapsed="false">
      <c r="A797" s="29"/>
      <c r="B797" s="29"/>
      <c r="C797" s="29"/>
      <c r="D797" s="29"/>
      <c r="E797" s="29"/>
      <c r="F797" s="29"/>
      <c r="G797" s="29"/>
      <c r="H797" s="29"/>
      <c r="I797" s="29"/>
    </row>
    <row r="798" customFormat="false" ht="15" hidden="false" customHeight="false" outlineLevel="0" collapsed="false">
      <c r="A798" s="29"/>
      <c r="B798" s="29"/>
      <c r="C798" s="29"/>
      <c r="D798" s="29"/>
      <c r="E798" s="29"/>
      <c r="F798" s="29"/>
      <c r="G798" s="29"/>
      <c r="H798" s="29"/>
      <c r="I798" s="29"/>
    </row>
    <row r="799" customFormat="false" ht="15" hidden="false" customHeight="false" outlineLevel="0" collapsed="false">
      <c r="A799" s="29"/>
      <c r="B799" s="29"/>
      <c r="C799" s="29"/>
      <c r="D799" s="29"/>
      <c r="E799" s="29"/>
      <c r="F799" s="29"/>
      <c r="G799" s="29"/>
      <c r="H799" s="29"/>
      <c r="I799" s="29"/>
    </row>
    <row r="800" customFormat="false" ht="15" hidden="false" customHeight="false" outlineLevel="0" collapsed="false">
      <c r="A800" s="29"/>
      <c r="B800" s="29"/>
      <c r="C800" s="29"/>
      <c r="D800" s="29"/>
      <c r="E800" s="29"/>
      <c r="F800" s="29"/>
      <c r="G800" s="29"/>
      <c r="H800" s="29"/>
      <c r="I800" s="29"/>
    </row>
    <row r="801" customFormat="false" ht="15" hidden="false" customHeight="false" outlineLevel="0" collapsed="false">
      <c r="A801" s="29"/>
      <c r="B801" s="29"/>
      <c r="C801" s="29"/>
      <c r="D801" s="29"/>
      <c r="E801" s="29"/>
      <c r="F801" s="29"/>
      <c r="G801" s="29"/>
      <c r="H801" s="29"/>
      <c r="I801" s="29"/>
    </row>
    <row r="802" customFormat="false" ht="15" hidden="false" customHeight="false" outlineLevel="0" collapsed="false">
      <c r="A802" s="29"/>
      <c r="B802" s="29"/>
      <c r="C802" s="29"/>
      <c r="D802" s="29"/>
      <c r="E802" s="29"/>
      <c r="F802" s="29"/>
      <c r="G802" s="29"/>
      <c r="H802" s="29"/>
      <c r="I802" s="29"/>
    </row>
    <row r="803" customFormat="false" ht="15" hidden="false" customHeight="false" outlineLevel="0" collapsed="false">
      <c r="A803" s="29"/>
      <c r="B803" s="29"/>
      <c r="C803" s="29"/>
      <c r="D803" s="29"/>
      <c r="E803" s="29"/>
      <c r="F803" s="29"/>
      <c r="G803" s="29"/>
      <c r="H803" s="29"/>
      <c r="I803" s="29"/>
    </row>
    <row r="804" customFormat="false" ht="15" hidden="false" customHeight="false" outlineLevel="0" collapsed="false">
      <c r="A804" s="29"/>
      <c r="B804" s="29"/>
      <c r="C804" s="29"/>
      <c r="D804" s="29"/>
      <c r="E804" s="29"/>
      <c r="F804" s="29"/>
      <c r="G804" s="29"/>
      <c r="H804" s="29"/>
      <c r="I804" s="29"/>
    </row>
    <row r="805" customFormat="false" ht="15" hidden="false" customHeight="false" outlineLevel="0" collapsed="false">
      <c r="A805" s="29"/>
      <c r="B805" s="29"/>
      <c r="C805" s="29"/>
      <c r="D805" s="29"/>
      <c r="E805" s="29"/>
      <c r="F805" s="29"/>
      <c r="G805" s="29"/>
      <c r="H805" s="29"/>
      <c r="I805" s="29"/>
    </row>
    <row r="806" customFormat="false" ht="15" hidden="false" customHeight="false" outlineLevel="0" collapsed="false">
      <c r="A806" s="29"/>
      <c r="B806" s="29"/>
      <c r="C806" s="29"/>
      <c r="D806" s="29"/>
      <c r="E806" s="29"/>
      <c r="F806" s="29"/>
      <c r="G806" s="29"/>
      <c r="H806" s="29"/>
      <c r="I806" s="29"/>
    </row>
    <row r="807" customFormat="false" ht="15" hidden="false" customHeight="false" outlineLevel="0" collapsed="false">
      <c r="A807" s="29"/>
      <c r="B807" s="29"/>
      <c r="C807" s="29"/>
      <c r="D807" s="29"/>
      <c r="E807" s="29"/>
      <c r="F807" s="29"/>
      <c r="G807" s="29"/>
      <c r="H807" s="29"/>
      <c r="I807" s="29"/>
    </row>
    <row r="808" customFormat="false" ht="15" hidden="false" customHeight="false" outlineLevel="0" collapsed="false">
      <c r="A808" s="29"/>
      <c r="B808" s="29"/>
      <c r="C808" s="29"/>
      <c r="D808" s="29"/>
      <c r="E808" s="29"/>
      <c r="F808" s="29"/>
      <c r="G808" s="29"/>
      <c r="H808" s="29"/>
      <c r="I808" s="29"/>
    </row>
    <row r="809" customFormat="false" ht="15" hidden="false" customHeight="false" outlineLevel="0" collapsed="false">
      <c r="A809" s="29"/>
      <c r="B809" s="29"/>
      <c r="C809" s="29"/>
      <c r="D809" s="29"/>
      <c r="E809" s="29"/>
      <c r="F809" s="29"/>
      <c r="G809" s="29"/>
      <c r="H809" s="29"/>
      <c r="I809" s="29"/>
    </row>
    <row r="810" customFormat="false" ht="15" hidden="false" customHeight="false" outlineLevel="0" collapsed="false">
      <c r="A810" s="29"/>
      <c r="B810" s="29"/>
      <c r="C810" s="29"/>
      <c r="D810" s="29"/>
      <c r="E810" s="29"/>
      <c r="F810" s="29"/>
      <c r="G810" s="29"/>
      <c r="H810" s="29"/>
      <c r="I810" s="29"/>
    </row>
    <row r="811" customFormat="false" ht="15" hidden="false" customHeight="false" outlineLevel="0" collapsed="false">
      <c r="A811" s="29"/>
      <c r="B811" s="29"/>
      <c r="C811" s="29"/>
      <c r="D811" s="29"/>
      <c r="E811" s="29"/>
      <c r="F811" s="29"/>
      <c r="G811" s="29"/>
      <c r="H811" s="29"/>
      <c r="I811" s="29"/>
    </row>
    <row r="812" customFormat="false" ht="15" hidden="false" customHeight="false" outlineLevel="0" collapsed="false">
      <c r="A812" s="29"/>
      <c r="B812" s="29"/>
      <c r="C812" s="29"/>
      <c r="D812" s="29"/>
      <c r="E812" s="29"/>
      <c r="F812" s="29"/>
      <c r="G812" s="29"/>
      <c r="H812" s="29"/>
      <c r="I812" s="29"/>
    </row>
    <row r="813" customFormat="false" ht="15" hidden="false" customHeight="false" outlineLevel="0" collapsed="false">
      <c r="A813" s="29"/>
      <c r="B813" s="29"/>
      <c r="C813" s="29"/>
      <c r="D813" s="29"/>
      <c r="E813" s="29"/>
      <c r="F813" s="29"/>
      <c r="G813" s="29"/>
      <c r="H813" s="29"/>
      <c r="I813" s="29"/>
    </row>
    <row r="814" customFormat="false" ht="15" hidden="false" customHeight="false" outlineLevel="0" collapsed="false">
      <c r="A814" s="29"/>
      <c r="B814" s="29"/>
      <c r="C814" s="29"/>
      <c r="D814" s="29"/>
      <c r="E814" s="29"/>
      <c r="F814" s="29"/>
      <c r="G814" s="29"/>
      <c r="H814" s="29"/>
      <c r="I814" s="29"/>
    </row>
    <row r="815" customFormat="false" ht="15" hidden="false" customHeight="false" outlineLevel="0" collapsed="false">
      <c r="A815" s="29"/>
      <c r="B815" s="29"/>
      <c r="C815" s="29"/>
      <c r="D815" s="29"/>
      <c r="E815" s="29"/>
      <c r="F815" s="29"/>
      <c r="G815" s="29"/>
      <c r="H815" s="29"/>
      <c r="I815" s="29"/>
    </row>
    <row r="816" customFormat="false" ht="15" hidden="false" customHeight="false" outlineLevel="0" collapsed="false">
      <c r="A816" s="29"/>
      <c r="B816" s="29"/>
      <c r="C816" s="29"/>
      <c r="D816" s="29"/>
      <c r="E816" s="29"/>
      <c r="F816" s="29"/>
      <c r="G816" s="29"/>
      <c r="H816" s="29"/>
      <c r="I816" s="29"/>
    </row>
    <row r="817" customFormat="false" ht="15" hidden="false" customHeight="false" outlineLevel="0" collapsed="false">
      <c r="A817" s="29"/>
      <c r="B817" s="29"/>
      <c r="C817" s="29"/>
      <c r="D817" s="29"/>
      <c r="E817" s="29"/>
      <c r="F817" s="29"/>
      <c r="G817" s="29"/>
      <c r="H817" s="29"/>
      <c r="I817" s="29"/>
    </row>
    <row r="818" customFormat="false" ht="15" hidden="false" customHeight="false" outlineLevel="0" collapsed="false">
      <c r="A818" s="29"/>
      <c r="B818" s="29"/>
      <c r="C818" s="29"/>
      <c r="D818" s="29"/>
      <c r="E818" s="29"/>
      <c r="F818" s="29"/>
      <c r="G818" s="29"/>
      <c r="H818" s="29"/>
      <c r="I818" s="29"/>
    </row>
    <row r="819" customFormat="false" ht="15" hidden="false" customHeight="false" outlineLevel="0" collapsed="false">
      <c r="A819" s="29"/>
      <c r="B819" s="29"/>
      <c r="C819" s="29"/>
      <c r="D819" s="29"/>
      <c r="E819" s="29"/>
      <c r="F819" s="29"/>
      <c r="G819" s="29"/>
      <c r="H819" s="29"/>
      <c r="I819" s="29"/>
    </row>
    <row r="820" customFormat="false" ht="15" hidden="false" customHeight="false" outlineLevel="0" collapsed="false">
      <c r="A820" s="29"/>
      <c r="B820" s="29"/>
      <c r="C820" s="29"/>
      <c r="D820" s="29"/>
      <c r="E820" s="29"/>
      <c r="F820" s="29"/>
      <c r="G820" s="29"/>
      <c r="H820" s="29"/>
      <c r="I820" s="29"/>
    </row>
    <row r="821" customFormat="false" ht="15" hidden="false" customHeight="false" outlineLevel="0" collapsed="false">
      <c r="A821" s="29"/>
      <c r="B821" s="29"/>
      <c r="C821" s="29"/>
      <c r="D821" s="29"/>
      <c r="E821" s="29"/>
      <c r="F821" s="29"/>
      <c r="G821" s="29"/>
      <c r="H821" s="29"/>
      <c r="I821" s="29"/>
    </row>
    <row r="822" customFormat="false" ht="15" hidden="false" customHeight="false" outlineLevel="0" collapsed="false">
      <c r="A822" s="29"/>
      <c r="B822" s="29"/>
      <c r="C822" s="29"/>
      <c r="D822" s="29"/>
      <c r="E822" s="29"/>
      <c r="F822" s="29"/>
      <c r="G822" s="29"/>
      <c r="H822" s="29"/>
      <c r="I822" s="29"/>
    </row>
    <row r="823" customFormat="false" ht="15" hidden="false" customHeight="false" outlineLevel="0" collapsed="false">
      <c r="A823" s="29"/>
      <c r="B823" s="29"/>
      <c r="C823" s="29"/>
      <c r="D823" s="29"/>
      <c r="E823" s="29"/>
      <c r="F823" s="29"/>
      <c r="G823" s="29"/>
      <c r="H823" s="29"/>
      <c r="I823" s="29"/>
    </row>
    <row r="824" customFormat="false" ht="15" hidden="false" customHeight="false" outlineLevel="0" collapsed="false">
      <c r="A824" s="29"/>
      <c r="B824" s="29"/>
      <c r="C824" s="29"/>
      <c r="D824" s="29"/>
      <c r="E824" s="29"/>
      <c r="F824" s="29"/>
      <c r="G824" s="29"/>
      <c r="H824" s="29"/>
      <c r="I824" s="29"/>
    </row>
    <row r="825" customFormat="false" ht="15" hidden="false" customHeight="false" outlineLevel="0" collapsed="false">
      <c r="A825" s="29"/>
      <c r="B825" s="29"/>
      <c r="C825" s="29"/>
      <c r="D825" s="29"/>
      <c r="E825" s="29"/>
      <c r="F825" s="29"/>
      <c r="G825" s="29"/>
      <c r="H825" s="29"/>
      <c r="I825" s="29"/>
    </row>
    <row r="826" customFormat="false" ht="15" hidden="false" customHeight="false" outlineLevel="0" collapsed="false">
      <c r="A826" s="29"/>
      <c r="B826" s="29"/>
      <c r="C826" s="29"/>
      <c r="D826" s="29"/>
      <c r="E826" s="29"/>
      <c r="F826" s="29"/>
      <c r="G826" s="29"/>
      <c r="H826" s="29"/>
      <c r="I826" s="29"/>
    </row>
    <row r="827" customFormat="false" ht="15" hidden="false" customHeight="false" outlineLevel="0" collapsed="false">
      <c r="A827" s="29"/>
      <c r="B827" s="29"/>
      <c r="C827" s="29"/>
      <c r="D827" s="29"/>
      <c r="E827" s="29"/>
      <c r="F827" s="29"/>
      <c r="G827" s="29"/>
      <c r="H827" s="29"/>
      <c r="I827" s="29"/>
    </row>
    <row r="828" customFormat="false" ht="15" hidden="false" customHeight="false" outlineLevel="0" collapsed="false">
      <c r="A828" s="29"/>
      <c r="B828" s="29"/>
      <c r="C828" s="29"/>
      <c r="D828" s="29"/>
      <c r="E828" s="29"/>
      <c r="F828" s="29"/>
      <c r="G828" s="29"/>
      <c r="H828" s="29"/>
      <c r="I828" s="29"/>
    </row>
    <row r="829" customFormat="false" ht="15" hidden="false" customHeight="false" outlineLevel="0" collapsed="false">
      <c r="A829" s="29"/>
      <c r="B829" s="29"/>
      <c r="C829" s="29"/>
      <c r="D829" s="29"/>
      <c r="E829" s="29"/>
      <c r="F829" s="29"/>
      <c r="G829" s="29"/>
      <c r="H829" s="29"/>
      <c r="I829" s="29"/>
    </row>
    <row r="830" customFormat="false" ht="15" hidden="false" customHeight="false" outlineLevel="0" collapsed="false">
      <c r="A830" s="29"/>
      <c r="B830" s="29"/>
      <c r="C830" s="29"/>
      <c r="D830" s="29"/>
      <c r="E830" s="29"/>
      <c r="F830" s="29"/>
      <c r="G830" s="29"/>
      <c r="H830" s="29"/>
      <c r="I830" s="29"/>
    </row>
    <row r="831" customFormat="false" ht="15" hidden="false" customHeight="false" outlineLevel="0" collapsed="false">
      <c r="A831" s="29"/>
      <c r="B831" s="29"/>
      <c r="C831" s="29"/>
      <c r="D831" s="29"/>
      <c r="E831" s="29"/>
      <c r="F831" s="29"/>
      <c r="G831" s="29"/>
      <c r="H831" s="29"/>
      <c r="I831" s="29"/>
    </row>
    <row r="832" customFormat="false" ht="15" hidden="false" customHeight="false" outlineLevel="0" collapsed="false">
      <c r="A832" s="29"/>
      <c r="B832" s="29"/>
      <c r="C832" s="29"/>
      <c r="D832" s="29"/>
      <c r="E832" s="29"/>
      <c r="F832" s="29"/>
      <c r="G832" s="29"/>
      <c r="H832" s="29"/>
      <c r="I832" s="29"/>
    </row>
    <row r="833" customFormat="false" ht="15" hidden="false" customHeight="false" outlineLevel="0" collapsed="false">
      <c r="A833" s="29"/>
      <c r="B833" s="29"/>
      <c r="C833" s="29"/>
      <c r="D833" s="29"/>
      <c r="E833" s="29"/>
      <c r="F833" s="29"/>
      <c r="G833" s="29"/>
      <c r="H833" s="29"/>
      <c r="I833" s="29"/>
    </row>
    <row r="834" customFormat="false" ht="15" hidden="false" customHeight="false" outlineLevel="0" collapsed="false">
      <c r="A834" s="29"/>
      <c r="B834" s="29"/>
      <c r="C834" s="29"/>
      <c r="D834" s="29"/>
      <c r="E834" s="29"/>
      <c r="F834" s="29"/>
      <c r="G834" s="29"/>
      <c r="H834" s="29"/>
      <c r="I834" s="29"/>
    </row>
    <row r="835" customFormat="false" ht="15" hidden="false" customHeight="false" outlineLevel="0" collapsed="false">
      <c r="A835" s="29"/>
      <c r="B835" s="29"/>
      <c r="C835" s="29"/>
      <c r="D835" s="29"/>
      <c r="E835" s="29"/>
      <c r="F835" s="29"/>
      <c r="G835" s="29"/>
      <c r="H835" s="29"/>
      <c r="I835" s="29"/>
    </row>
    <row r="836" customFormat="false" ht="15" hidden="false" customHeight="false" outlineLevel="0" collapsed="false">
      <c r="A836" s="29"/>
      <c r="B836" s="29"/>
      <c r="C836" s="29"/>
      <c r="D836" s="29"/>
      <c r="E836" s="29"/>
      <c r="F836" s="29"/>
      <c r="G836" s="29"/>
      <c r="H836" s="29"/>
      <c r="I836" s="29"/>
    </row>
    <row r="837" customFormat="false" ht="15" hidden="false" customHeight="false" outlineLevel="0" collapsed="false">
      <c r="A837" s="29"/>
      <c r="B837" s="29"/>
      <c r="C837" s="29"/>
      <c r="D837" s="29"/>
      <c r="E837" s="29"/>
      <c r="F837" s="29"/>
      <c r="G837" s="29"/>
      <c r="H837" s="29"/>
      <c r="I837" s="29"/>
    </row>
    <row r="838" customFormat="false" ht="15" hidden="false" customHeight="false" outlineLevel="0" collapsed="false">
      <c r="A838" s="29"/>
      <c r="B838" s="29"/>
      <c r="C838" s="29"/>
      <c r="D838" s="29"/>
      <c r="E838" s="29"/>
      <c r="F838" s="29"/>
      <c r="G838" s="29"/>
      <c r="H838" s="29"/>
      <c r="I838" s="29"/>
    </row>
    <row r="839" customFormat="false" ht="15" hidden="false" customHeight="false" outlineLevel="0" collapsed="false">
      <c r="A839" s="29"/>
      <c r="B839" s="29"/>
      <c r="C839" s="29"/>
      <c r="D839" s="29"/>
      <c r="E839" s="29"/>
      <c r="F839" s="29"/>
      <c r="G839" s="29"/>
      <c r="H839" s="29"/>
      <c r="I839" s="29"/>
    </row>
    <row r="840" customFormat="false" ht="15" hidden="false" customHeight="false" outlineLevel="0" collapsed="false">
      <c r="A840" s="29"/>
      <c r="B840" s="29"/>
      <c r="C840" s="29"/>
      <c r="D840" s="29"/>
      <c r="E840" s="29"/>
      <c r="F840" s="29"/>
      <c r="G840" s="29"/>
      <c r="H840" s="29"/>
      <c r="I840" s="29"/>
    </row>
    <row r="841" customFormat="false" ht="15" hidden="false" customHeight="false" outlineLevel="0" collapsed="false">
      <c r="A841" s="29"/>
      <c r="B841" s="29"/>
      <c r="C841" s="29"/>
      <c r="D841" s="29"/>
      <c r="E841" s="29"/>
      <c r="F841" s="29"/>
      <c r="G841" s="29"/>
      <c r="H841" s="29"/>
      <c r="I841" s="29"/>
    </row>
    <row r="842" customFormat="false" ht="15" hidden="false" customHeight="false" outlineLevel="0" collapsed="false">
      <c r="A842" s="29"/>
      <c r="B842" s="29"/>
      <c r="C842" s="29"/>
      <c r="D842" s="29"/>
      <c r="E842" s="29"/>
      <c r="F842" s="29"/>
      <c r="G842" s="29"/>
      <c r="H842" s="29"/>
      <c r="I842" s="29"/>
    </row>
    <row r="843" customFormat="false" ht="15" hidden="false" customHeight="false" outlineLevel="0" collapsed="false">
      <c r="A843" s="29"/>
      <c r="B843" s="29"/>
      <c r="C843" s="29"/>
      <c r="D843" s="29"/>
      <c r="E843" s="29"/>
      <c r="F843" s="29"/>
      <c r="G843" s="29"/>
      <c r="H843" s="29"/>
      <c r="I843" s="29"/>
    </row>
    <row r="844" customFormat="false" ht="15" hidden="false" customHeight="false" outlineLevel="0" collapsed="false">
      <c r="A844" s="29"/>
      <c r="B844" s="29"/>
      <c r="C844" s="29"/>
      <c r="D844" s="29"/>
      <c r="E844" s="29"/>
      <c r="F844" s="29"/>
      <c r="G844" s="29"/>
      <c r="H844" s="29"/>
      <c r="I844" s="29"/>
    </row>
    <row r="845" customFormat="false" ht="15" hidden="false" customHeight="false" outlineLevel="0" collapsed="false">
      <c r="A845" s="29"/>
      <c r="B845" s="29"/>
      <c r="C845" s="29"/>
      <c r="D845" s="29"/>
      <c r="E845" s="29"/>
      <c r="F845" s="29"/>
      <c r="G845" s="29"/>
      <c r="H845" s="29"/>
      <c r="I845" s="29"/>
    </row>
    <row r="846" customFormat="false" ht="15" hidden="false" customHeight="false" outlineLevel="0" collapsed="false">
      <c r="A846" s="29"/>
      <c r="B846" s="29"/>
      <c r="C846" s="29"/>
      <c r="D846" s="29"/>
      <c r="E846" s="29"/>
      <c r="F846" s="29"/>
      <c r="G846" s="29"/>
      <c r="H846" s="29"/>
      <c r="I846" s="29"/>
    </row>
    <row r="847" customFormat="false" ht="15" hidden="false" customHeight="false" outlineLevel="0" collapsed="false">
      <c r="A847" s="29"/>
      <c r="B847" s="29"/>
      <c r="C847" s="29"/>
      <c r="D847" s="29"/>
      <c r="E847" s="29"/>
      <c r="F847" s="29"/>
      <c r="G847" s="29"/>
      <c r="H847" s="29"/>
      <c r="I847" s="29"/>
    </row>
    <row r="848" customFormat="false" ht="15" hidden="false" customHeight="false" outlineLevel="0" collapsed="false">
      <c r="A848" s="29"/>
      <c r="B848" s="29"/>
      <c r="C848" s="29"/>
      <c r="D848" s="29"/>
      <c r="E848" s="29"/>
      <c r="F848" s="29"/>
      <c r="G848" s="29"/>
      <c r="H848" s="29"/>
      <c r="I848" s="29"/>
    </row>
    <row r="849" customFormat="false" ht="15" hidden="false" customHeight="false" outlineLevel="0" collapsed="false">
      <c r="A849" s="29"/>
      <c r="B849" s="29"/>
      <c r="C849" s="29"/>
      <c r="D849" s="29"/>
      <c r="E849" s="29"/>
      <c r="F849" s="29"/>
      <c r="G849" s="29"/>
      <c r="H849" s="29"/>
      <c r="I849" s="29"/>
    </row>
    <row r="850" customFormat="false" ht="15" hidden="false" customHeight="false" outlineLevel="0" collapsed="false">
      <c r="A850" s="29"/>
      <c r="B850" s="29"/>
      <c r="C850" s="29"/>
      <c r="D850" s="29"/>
      <c r="E850" s="29"/>
      <c r="F850" s="29"/>
      <c r="G850" s="29"/>
      <c r="H850" s="29"/>
      <c r="I850" s="29"/>
    </row>
    <row r="851" customFormat="false" ht="15" hidden="false" customHeight="false" outlineLevel="0" collapsed="false">
      <c r="A851" s="29"/>
      <c r="B851" s="29"/>
      <c r="C851" s="29"/>
      <c r="D851" s="29"/>
      <c r="E851" s="29"/>
      <c r="F851" s="29"/>
      <c r="G851" s="29"/>
      <c r="H851" s="29"/>
      <c r="I851" s="29"/>
    </row>
    <row r="852" customFormat="false" ht="15" hidden="false" customHeight="false" outlineLevel="0" collapsed="false">
      <c r="A852" s="29"/>
      <c r="B852" s="29"/>
      <c r="C852" s="29"/>
      <c r="D852" s="29"/>
      <c r="E852" s="29"/>
      <c r="F852" s="29"/>
      <c r="G852" s="29"/>
      <c r="H852" s="29"/>
      <c r="I852" s="29"/>
    </row>
    <row r="853" customFormat="false" ht="15" hidden="false" customHeight="false" outlineLevel="0" collapsed="false">
      <c r="A853" s="29"/>
      <c r="B853" s="29"/>
      <c r="C853" s="29"/>
      <c r="D853" s="29"/>
      <c r="E853" s="29"/>
      <c r="F853" s="29"/>
      <c r="G853" s="29"/>
      <c r="H853" s="29"/>
      <c r="I853" s="29"/>
    </row>
    <row r="854" customFormat="false" ht="15" hidden="false" customHeight="false" outlineLevel="0" collapsed="false">
      <c r="A854" s="29"/>
      <c r="B854" s="29"/>
      <c r="C854" s="29"/>
      <c r="D854" s="29"/>
      <c r="E854" s="29"/>
      <c r="F854" s="29"/>
      <c r="G854" s="29"/>
      <c r="H854" s="29"/>
      <c r="I854" s="29"/>
    </row>
    <row r="855" customFormat="false" ht="15" hidden="false" customHeight="false" outlineLevel="0" collapsed="false">
      <c r="A855" s="29"/>
      <c r="B855" s="29"/>
      <c r="C855" s="29"/>
      <c r="D855" s="29"/>
      <c r="E855" s="29"/>
      <c r="F855" s="29"/>
      <c r="G855" s="29"/>
      <c r="H855" s="29"/>
      <c r="I855" s="29"/>
    </row>
    <row r="856" customFormat="false" ht="15" hidden="false" customHeight="false" outlineLevel="0" collapsed="false">
      <c r="A856" s="29"/>
      <c r="B856" s="29"/>
      <c r="C856" s="29"/>
      <c r="D856" s="29"/>
      <c r="E856" s="29"/>
      <c r="F856" s="29"/>
      <c r="G856" s="29"/>
      <c r="H856" s="29"/>
      <c r="I856" s="29"/>
    </row>
    <row r="857" customFormat="false" ht="15" hidden="false" customHeight="false" outlineLevel="0" collapsed="false">
      <c r="A857" s="29"/>
      <c r="B857" s="29"/>
      <c r="C857" s="29"/>
      <c r="D857" s="29"/>
      <c r="E857" s="29"/>
      <c r="F857" s="29"/>
      <c r="G857" s="29"/>
      <c r="H857" s="29"/>
      <c r="I857" s="29"/>
    </row>
    <row r="858" customFormat="false" ht="15" hidden="false" customHeight="false" outlineLevel="0" collapsed="false">
      <c r="A858" s="29"/>
      <c r="B858" s="29"/>
      <c r="C858" s="29"/>
      <c r="D858" s="29"/>
      <c r="E858" s="29"/>
      <c r="F858" s="29"/>
      <c r="G858" s="29"/>
      <c r="H858" s="29"/>
      <c r="I858" s="29"/>
    </row>
    <row r="859" customFormat="false" ht="15" hidden="false" customHeight="false" outlineLevel="0" collapsed="false">
      <c r="A859" s="29"/>
      <c r="B859" s="29"/>
      <c r="C859" s="29"/>
      <c r="D859" s="29"/>
      <c r="E859" s="29"/>
      <c r="F859" s="29"/>
      <c r="G859" s="29"/>
      <c r="H859" s="29"/>
      <c r="I859" s="29"/>
    </row>
    <row r="860" customFormat="false" ht="15" hidden="false" customHeight="false" outlineLevel="0" collapsed="false">
      <c r="A860" s="29"/>
      <c r="B860" s="29"/>
      <c r="C860" s="29"/>
      <c r="D860" s="29"/>
      <c r="E860" s="29"/>
      <c r="F860" s="29"/>
      <c r="G860" s="29"/>
      <c r="H860" s="29"/>
      <c r="I860" s="29"/>
    </row>
    <row r="861" customFormat="false" ht="15" hidden="false" customHeight="false" outlineLevel="0" collapsed="false">
      <c r="A861" s="29"/>
      <c r="B861" s="29"/>
      <c r="C861" s="29"/>
      <c r="D861" s="29"/>
      <c r="E861" s="29"/>
      <c r="F861" s="29"/>
      <c r="G861" s="29"/>
      <c r="H861" s="29"/>
      <c r="I861" s="29"/>
    </row>
    <row r="862" customFormat="false" ht="15" hidden="false" customHeight="false" outlineLevel="0" collapsed="false">
      <c r="A862" s="29"/>
      <c r="B862" s="29"/>
      <c r="C862" s="29"/>
      <c r="D862" s="29"/>
      <c r="E862" s="29"/>
      <c r="F862" s="29"/>
      <c r="G862" s="29"/>
      <c r="H862" s="29"/>
      <c r="I862" s="29"/>
    </row>
    <row r="863" customFormat="false" ht="15" hidden="false" customHeight="false" outlineLevel="0" collapsed="false">
      <c r="A863" s="29"/>
      <c r="B863" s="29"/>
      <c r="C863" s="29"/>
      <c r="D863" s="29"/>
      <c r="E863" s="29"/>
      <c r="F863" s="29"/>
      <c r="G863" s="29"/>
      <c r="H863" s="29"/>
      <c r="I863" s="29"/>
    </row>
    <row r="864" customFormat="false" ht="15" hidden="false" customHeight="false" outlineLevel="0" collapsed="false">
      <c r="A864" s="29"/>
      <c r="B864" s="29"/>
      <c r="C864" s="29"/>
      <c r="D864" s="29"/>
      <c r="E864" s="29"/>
      <c r="F864" s="29"/>
      <c r="G864" s="29"/>
      <c r="H864" s="29"/>
      <c r="I864" s="29"/>
    </row>
    <row r="865" customFormat="false" ht="15" hidden="false" customHeight="false" outlineLevel="0" collapsed="false">
      <c r="A865" s="29"/>
      <c r="B865" s="29"/>
      <c r="C865" s="29"/>
      <c r="D865" s="29"/>
      <c r="E865" s="29"/>
      <c r="F865" s="29"/>
      <c r="G865" s="29"/>
      <c r="H865" s="29"/>
      <c r="I865" s="29"/>
    </row>
    <row r="866" customFormat="false" ht="15" hidden="false" customHeight="false" outlineLevel="0" collapsed="false">
      <c r="A866" s="29"/>
      <c r="B866" s="29"/>
      <c r="C866" s="29"/>
      <c r="D866" s="29"/>
      <c r="E866" s="29"/>
      <c r="F866" s="29"/>
      <c r="G866" s="29"/>
      <c r="H866" s="29"/>
      <c r="I866" s="29"/>
    </row>
    <row r="867" customFormat="false" ht="15" hidden="false" customHeight="false" outlineLevel="0" collapsed="false">
      <c r="A867" s="29"/>
      <c r="B867" s="29"/>
      <c r="C867" s="29"/>
      <c r="D867" s="29"/>
      <c r="E867" s="29"/>
      <c r="F867" s="29"/>
      <c r="G867" s="29"/>
      <c r="H867" s="29"/>
      <c r="I867" s="29"/>
    </row>
    <row r="868" customFormat="false" ht="15" hidden="false" customHeight="false" outlineLevel="0" collapsed="false">
      <c r="A868" s="29"/>
      <c r="B868" s="29"/>
      <c r="C868" s="29"/>
      <c r="D868" s="29"/>
      <c r="E868" s="29"/>
      <c r="F868" s="29"/>
      <c r="G868" s="29"/>
      <c r="H868" s="29"/>
      <c r="I868" s="29"/>
    </row>
    <row r="869" customFormat="false" ht="15" hidden="false" customHeight="false" outlineLevel="0" collapsed="false">
      <c r="A869" s="29"/>
      <c r="B869" s="29"/>
      <c r="C869" s="29"/>
      <c r="D869" s="29"/>
      <c r="E869" s="29"/>
      <c r="F869" s="29"/>
      <c r="G869" s="29"/>
      <c r="H869" s="29"/>
      <c r="I869" s="29"/>
    </row>
    <row r="870" customFormat="false" ht="15" hidden="false" customHeight="false" outlineLevel="0" collapsed="false">
      <c r="A870" s="29"/>
      <c r="B870" s="29"/>
      <c r="C870" s="29"/>
      <c r="D870" s="29"/>
      <c r="E870" s="29"/>
      <c r="F870" s="29"/>
      <c r="G870" s="29"/>
      <c r="H870" s="29"/>
      <c r="I870" s="29"/>
    </row>
    <row r="871" customFormat="false" ht="15" hidden="false" customHeight="false" outlineLevel="0" collapsed="false">
      <c r="A871" s="29"/>
      <c r="B871" s="29"/>
      <c r="C871" s="29"/>
      <c r="D871" s="29"/>
      <c r="E871" s="29"/>
      <c r="F871" s="29"/>
      <c r="G871" s="29"/>
      <c r="H871" s="29"/>
      <c r="I871" s="29"/>
    </row>
    <row r="872" customFormat="false" ht="15" hidden="false" customHeight="false" outlineLevel="0" collapsed="false">
      <c r="A872" s="29"/>
      <c r="B872" s="29"/>
      <c r="C872" s="29"/>
      <c r="D872" s="29"/>
      <c r="E872" s="29"/>
      <c r="F872" s="29"/>
      <c r="G872" s="29"/>
      <c r="H872" s="29"/>
      <c r="I872" s="29"/>
    </row>
    <row r="873" customFormat="false" ht="15" hidden="false" customHeight="false" outlineLevel="0" collapsed="false">
      <c r="A873" s="29"/>
      <c r="B873" s="29"/>
      <c r="C873" s="29"/>
      <c r="D873" s="29"/>
      <c r="E873" s="29"/>
      <c r="F873" s="29"/>
      <c r="G873" s="29"/>
      <c r="H873" s="29"/>
      <c r="I873" s="29"/>
    </row>
    <row r="874" customFormat="false" ht="15" hidden="false" customHeight="false" outlineLevel="0" collapsed="false">
      <c r="A874" s="29"/>
      <c r="B874" s="29"/>
      <c r="C874" s="29"/>
      <c r="D874" s="29"/>
      <c r="E874" s="29"/>
      <c r="F874" s="29"/>
      <c r="G874" s="29"/>
      <c r="H874" s="29"/>
      <c r="I874" s="29"/>
    </row>
    <row r="875" customFormat="false" ht="15" hidden="false" customHeight="false" outlineLevel="0" collapsed="false">
      <c r="A875" s="29"/>
      <c r="B875" s="29"/>
      <c r="C875" s="29"/>
      <c r="D875" s="29"/>
      <c r="E875" s="29"/>
      <c r="F875" s="29"/>
      <c r="G875" s="29"/>
      <c r="H875" s="29"/>
      <c r="I875" s="29"/>
    </row>
    <row r="876" customFormat="false" ht="15" hidden="false" customHeight="false" outlineLevel="0" collapsed="false">
      <c r="A876" s="29"/>
      <c r="B876" s="29"/>
      <c r="C876" s="29"/>
      <c r="D876" s="29"/>
      <c r="E876" s="29"/>
      <c r="F876" s="29"/>
      <c r="G876" s="29"/>
      <c r="H876" s="29"/>
      <c r="I876" s="29"/>
    </row>
    <row r="877" customFormat="false" ht="15" hidden="false" customHeight="false" outlineLevel="0" collapsed="false">
      <c r="A877" s="29"/>
      <c r="B877" s="29"/>
      <c r="C877" s="29"/>
      <c r="D877" s="29"/>
      <c r="E877" s="29"/>
      <c r="F877" s="29"/>
      <c r="G877" s="29"/>
      <c r="H877" s="29"/>
      <c r="I877" s="29"/>
    </row>
    <row r="878" customFormat="false" ht="15" hidden="false" customHeight="false" outlineLevel="0" collapsed="false">
      <c r="A878" s="29"/>
      <c r="B878" s="29"/>
      <c r="C878" s="29"/>
      <c r="D878" s="29"/>
      <c r="E878" s="29"/>
      <c r="F878" s="29"/>
      <c r="G878" s="29"/>
      <c r="H878" s="29"/>
      <c r="I878" s="29"/>
    </row>
    <row r="879" customFormat="false" ht="15" hidden="false" customHeight="false" outlineLevel="0" collapsed="false">
      <c r="A879" s="29"/>
      <c r="B879" s="29"/>
      <c r="C879" s="29"/>
      <c r="D879" s="29"/>
      <c r="E879" s="29"/>
      <c r="F879" s="29"/>
      <c r="G879" s="29"/>
      <c r="H879" s="29"/>
      <c r="I879" s="29"/>
    </row>
    <row r="880" customFormat="false" ht="15" hidden="false" customHeight="false" outlineLevel="0" collapsed="false">
      <c r="A880" s="29"/>
      <c r="B880" s="29"/>
      <c r="C880" s="29"/>
      <c r="D880" s="29"/>
      <c r="E880" s="29"/>
      <c r="F880" s="29"/>
      <c r="G880" s="29"/>
      <c r="H880" s="29"/>
      <c r="I880" s="29"/>
    </row>
    <row r="881" customFormat="false" ht="15" hidden="false" customHeight="false" outlineLevel="0" collapsed="false">
      <c r="A881" s="29"/>
      <c r="B881" s="29"/>
      <c r="C881" s="29"/>
      <c r="D881" s="29"/>
      <c r="E881" s="29"/>
      <c r="F881" s="29"/>
      <c r="G881" s="29"/>
      <c r="H881" s="29"/>
      <c r="I881" s="29"/>
    </row>
    <row r="882" customFormat="false" ht="15" hidden="false" customHeight="false" outlineLevel="0" collapsed="false">
      <c r="A882" s="29"/>
      <c r="B882" s="29"/>
      <c r="C882" s="29"/>
      <c r="D882" s="29"/>
      <c r="E882" s="29"/>
      <c r="F882" s="29"/>
      <c r="G882" s="29"/>
      <c r="H882" s="29"/>
      <c r="I882" s="29"/>
    </row>
    <row r="883" customFormat="false" ht="15" hidden="false" customHeight="false" outlineLevel="0" collapsed="false">
      <c r="A883" s="29"/>
      <c r="B883" s="29"/>
      <c r="C883" s="29"/>
      <c r="D883" s="29"/>
      <c r="E883" s="29"/>
      <c r="F883" s="29"/>
      <c r="G883" s="29"/>
      <c r="H883" s="29"/>
      <c r="I883" s="29"/>
    </row>
    <row r="884" customFormat="false" ht="15" hidden="false" customHeight="false" outlineLevel="0" collapsed="false">
      <c r="A884" s="29"/>
      <c r="B884" s="29"/>
      <c r="C884" s="29"/>
      <c r="D884" s="29"/>
      <c r="E884" s="29"/>
      <c r="F884" s="29"/>
      <c r="G884" s="29"/>
      <c r="H884" s="29"/>
      <c r="I884" s="29"/>
    </row>
    <row r="885" customFormat="false" ht="15" hidden="false" customHeight="false" outlineLevel="0" collapsed="false">
      <c r="A885" s="29"/>
      <c r="B885" s="29"/>
      <c r="C885" s="29"/>
      <c r="D885" s="29"/>
      <c r="E885" s="29"/>
      <c r="F885" s="29"/>
      <c r="G885" s="29"/>
      <c r="H885" s="29"/>
      <c r="I885" s="29"/>
    </row>
    <row r="886" customFormat="false" ht="15" hidden="false" customHeight="false" outlineLevel="0" collapsed="false">
      <c r="A886" s="29"/>
      <c r="B886" s="29"/>
      <c r="C886" s="29"/>
      <c r="D886" s="29"/>
      <c r="E886" s="29"/>
      <c r="F886" s="29"/>
      <c r="G886" s="29"/>
      <c r="H886" s="29"/>
      <c r="I886" s="29"/>
    </row>
    <row r="887" customFormat="false" ht="15" hidden="false" customHeight="false" outlineLevel="0" collapsed="false">
      <c r="A887" s="29"/>
      <c r="B887" s="29"/>
      <c r="C887" s="29"/>
      <c r="D887" s="29"/>
      <c r="E887" s="29"/>
      <c r="F887" s="29"/>
      <c r="G887" s="29"/>
      <c r="H887" s="29"/>
      <c r="I887" s="29"/>
    </row>
    <row r="888" customFormat="false" ht="15" hidden="false" customHeight="false" outlineLevel="0" collapsed="false">
      <c r="A888" s="29"/>
      <c r="B888" s="29"/>
      <c r="C888" s="29"/>
      <c r="D888" s="29"/>
      <c r="E888" s="29"/>
      <c r="F888" s="29"/>
      <c r="G888" s="29"/>
      <c r="H888" s="29"/>
      <c r="I888" s="29"/>
    </row>
    <row r="889" customFormat="false" ht="15" hidden="false" customHeight="false" outlineLevel="0" collapsed="false">
      <c r="A889" s="29"/>
      <c r="B889" s="29"/>
      <c r="C889" s="29"/>
      <c r="D889" s="29"/>
      <c r="E889" s="29"/>
      <c r="F889" s="29"/>
      <c r="G889" s="29"/>
      <c r="H889" s="29"/>
      <c r="I889" s="29"/>
    </row>
    <row r="890" customFormat="false" ht="15" hidden="false" customHeight="false" outlineLevel="0" collapsed="false">
      <c r="A890" s="29"/>
      <c r="B890" s="29"/>
      <c r="C890" s="29"/>
      <c r="D890" s="29"/>
      <c r="E890" s="29"/>
      <c r="F890" s="29"/>
      <c r="G890" s="29"/>
      <c r="H890" s="29"/>
      <c r="I890" s="29"/>
    </row>
    <row r="891" customFormat="false" ht="15" hidden="false" customHeight="false" outlineLevel="0" collapsed="false">
      <c r="A891" s="29"/>
      <c r="B891" s="29"/>
      <c r="C891" s="29"/>
      <c r="D891" s="29"/>
      <c r="E891" s="29"/>
      <c r="F891" s="29"/>
      <c r="G891" s="29"/>
      <c r="H891" s="29"/>
      <c r="I891" s="29"/>
    </row>
    <row r="892" customFormat="false" ht="15" hidden="false" customHeight="false" outlineLevel="0" collapsed="false">
      <c r="A892" s="29"/>
      <c r="B892" s="29"/>
      <c r="C892" s="29"/>
      <c r="D892" s="29"/>
      <c r="E892" s="29"/>
      <c r="F892" s="29"/>
      <c r="G892" s="29"/>
      <c r="H892" s="29"/>
      <c r="I892" s="29"/>
    </row>
    <row r="893" customFormat="false" ht="15" hidden="false" customHeight="false" outlineLevel="0" collapsed="false">
      <c r="A893" s="29"/>
      <c r="B893" s="29"/>
      <c r="C893" s="29"/>
      <c r="D893" s="29"/>
      <c r="E893" s="29"/>
      <c r="F893" s="29"/>
      <c r="G893" s="29"/>
      <c r="H893" s="29"/>
      <c r="I893" s="29"/>
    </row>
    <row r="894" customFormat="false" ht="15" hidden="false" customHeight="false" outlineLevel="0" collapsed="false">
      <c r="A894" s="29"/>
      <c r="B894" s="29"/>
      <c r="C894" s="29"/>
      <c r="D894" s="29"/>
      <c r="E894" s="29"/>
      <c r="F894" s="29"/>
      <c r="G894" s="29"/>
      <c r="H894" s="29"/>
      <c r="I894" s="29"/>
    </row>
    <row r="895" customFormat="false" ht="15" hidden="false" customHeight="false" outlineLevel="0" collapsed="false">
      <c r="A895" s="29"/>
      <c r="B895" s="29"/>
      <c r="C895" s="29"/>
      <c r="D895" s="29"/>
      <c r="E895" s="29"/>
      <c r="F895" s="29"/>
      <c r="G895" s="29"/>
      <c r="H895" s="29"/>
      <c r="I895" s="29"/>
    </row>
    <row r="896" customFormat="false" ht="15" hidden="false" customHeight="false" outlineLevel="0" collapsed="false">
      <c r="A896" s="29"/>
      <c r="B896" s="29"/>
      <c r="C896" s="29"/>
      <c r="D896" s="29"/>
      <c r="E896" s="29"/>
      <c r="F896" s="29"/>
      <c r="G896" s="29"/>
      <c r="H896" s="29"/>
      <c r="I896" s="29"/>
    </row>
    <row r="897" customFormat="false" ht="15" hidden="false" customHeight="false" outlineLevel="0" collapsed="false">
      <c r="A897" s="29"/>
      <c r="B897" s="29"/>
      <c r="C897" s="29"/>
      <c r="D897" s="29"/>
      <c r="E897" s="29"/>
      <c r="F897" s="29"/>
      <c r="G897" s="29"/>
      <c r="H897" s="29"/>
      <c r="I897" s="29"/>
    </row>
    <row r="898" customFormat="false" ht="15" hidden="false" customHeight="false" outlineLevel="0" collapsed="false">
      <c r="A898" s="29"/>
      <c r="B898" s="29"/>
      <c r="C898" s="29"/>
      <c r="D898" s="29"/>
      <c r="E898" s="29"/>
      <c r="F898" s="29"/>
      <c r="G898" s="29"/>
      <c r="H898" s="29"/>
      <c r="I898" s="29"/>
    </row>
    <row r="899" customFormat="false" ht="15" hidden="false" customHeight="false" outlineLevel="0" collapsed="false">
      <c r="A899" s="29"/>
      <c r="B899" s="29"/>
      <c r="C899" s="29"/>
      <c r="D899" s="29"/>
      <c r="E899" s="29"/>
      <c r="F899" s="29"/>
      <c r="G899" s="29"/>
      <c r="H899" s="29"/>
      <c r="I899" s="29"/>
    </row>
    <row r="900" customFormat="false" ht="15" hidden="false" customHeight="false" outlineLevel="0" collapsed="false">
      <c r="A900" s="29"/>
      <c r="B900" s="29"/>
      <c r="C900" s="29"/>
      <c r="D900" s="29"/>
      <c r="E900" s="29"/>
      <c r="F900" s="29"/>
      <c r="G900" s="29"/>
      <c r="H900" s="29"/>
      <c r="I900" s="29"/>
    </row>
    <row r="901" customFormat="false" ht="15" hidden="false" customHeight="false" outlineLevel="0" collapsed="false">
      <c r="A901" s="29"/>
      <c r="B901" s="29"/>
      <c r="C901" s="29"/>
      <c r="D901" s="29"/>
      <c r="E901" s="29"/>
      <c r="F901" s="29"/>
      <c r="G901" s="29"/>
      <c r="H901" s="29"/>
      <c r="I901" s="29"/>
    </row>
    <row r="902" customFormat="false" ht="15" hidden="false" customHeight="false" outlineLevel="0" collapsed="false">
      <c r="A902" s="29"/>
      <c r="B902" s="29"/>
      <c r="C902" s="29"/>
      <c r="D902" s="29"/>
      <c r="E902" s="29"/>
      <c r="F902" s="29"/>
      <c r="G902" s="29"/>
      <c r="H902" s="29"/>
      <c r="I902" s="29"/>
    </row>
    <row r="903" customFormat="false" ht="15" hidden="false" customHeight="false" outlineLevel="0" collapsed="false">
      <c r="A903" s="29"/>
      <c r="B903" s="29"/>
      <c r="C903" s="29"/>
      <c r="D903" s="29"/>
      <c r="E903" s="29"/>
      <c r="F903" s="29"/>
      <c r="G903" s="29"/>
      <c r="H903" s="29"/>
      <c r="I903" s="29"/>
    </row>
    <row r="904" customFormat="false" ht="15" hidden="false" customHeight="false" outlineLevel="0" collapsed="false">
      <c r="A904" s="29"/>
      <c r="B904" s="29"/>
      <c r="C904" s="29"/>
      <c r="D904" s="29"/>
      <c r="E904" s="29"/>
      <c r="F904" s="29"/>
      <c r="G904" s="29"/>
      <c r="H904" s="29"/>
      <c r="I904" s="29"/>
    </row>
    <row r="905" customFormat="false" ht="15" hidden="false" customHeight="false" outlineLevel="0" collapsed="false">
      <c r="A905" s="29"/>
      <c r="B905" s="29"/>
      <c r="C905" s="29"/>
      <c r="D905" s="29"/>
      <c r="E905" s="29"/>
      <c r="F905" s="29"/>
      <c r="G905" s="29"/>
      <c r="H905" s="29"/>
      <c r="I905" s="29"/>
    </row>
    <row r="906" customFormat="false" ht="15" hidden="false" customHeight="false" outlineLevel="0" collapsed="false">
      <c r="A906" s="29"/>
      <c r="B906" s="29"/>
      <c r="C906" s="29"/>
      <c r="D906" s="29"/>
      <c r="E906" s="29"/>
      <c r="F906" s="29"/>
      <c r="G906" s="29"/>
      <c r="H906" s="29"/>
      <c r="I906" s="29"/>
    </row>
    <row r="907" customFormat="false" ht="15" hidden="false" customHeight="false" outlineLevel="0" collapsed="false">
      <c r="A907" s="29"/>
      <c r="B907" s="29"/>
      <c r="C907" s="29"/>
      <c r="D907" s="29"/>
      <c r="E907" s="29"/>
      <c r="F907" s="29"/>
      <c r="G907" s="29"/>
      <c r="H907" s="29"/>
      <c r="I907" s="29"/>
    </row>
    <row r="908" customFormat="false" ht="15" hidden="false" customHeight="false" outlineLevel="0" collapsed="false">
      <c r="A908" s="29"/>
      <c r="B908" s="29"/>
      <c r="C908" s="29"/>
      <c r="D908" s="29"/>
      <c r="E908" s="29"/>
      <c r="F908" s="29"/>
      <c r="G908" s="29"/>
      <c r="H908" s="29"/>
      <c r="I908" s="29"/>
    </row>
    <row r="909" customFormat="false" ht="15" hidden="false" customHeight="false" outlineLevel="0" collapsed="false">
      <c r="A909" s="29"/>
      <c r="B909" s="29"/>
      <c r="C909" s="29"/>
      <c r="D909" s="29"/>
      <c r="E909" s="29"/>
      <c r="F909" s="29"/>
      <c r="G909" s="29"/>
      <c r="H909" s="29"/>
      <c r="I909" s="29"/>
    </row>
    <row r="910" customFormat="false" ht="15" hidden="false" customHeight="false" outlineLevel="0" collapsed="false">
      <c r="A910" s="29"/>
      <c r="B910" s="29"/>
      <c r="C910" s="29"/>
      <c r="D910" s="29"/>
      <c r="E910" s="29"/>
      <c r="F910" s="29"/>
      <c r="G910" s="29"/>
      <c r="H910" s="29"/>
      <c r="I910" s="29"/>
    </row>
    <row r="911" customFormat="false" ht="15" hidden="false" customHeight="false" outlineLevel="0" collapsed="false">
      <c r="A911" s="29"/>
      <c r="B911" s="29"/>
      <c r="C911" s="29"/>
      <c r="D911" s="29"/>
      <c r="E911" s="29"/>
      <c r="F911" s="29"/>
      <c r="G911" s="29"/>
      <c r="H911" s="29"/>
      <c r="I911" s="29"/>
    </row>
    <row r="912" customFormat="false" ht="15" hidden="false" customHeight="false" outlineLevel="0" collapsed="false">
      <c r="A912" s="29"/>
      <c r="B912" s="29"/>
      <c r="C912" s="29"/>
      <c r="D912" s="29"/>
      <c r="E912" s="29"/>
      <c r="F912" s="29"/>
      <c r="G912" s="29"/>
      <c r="H912" s="29"/>
      <c r="I912" s="29"/>
    </row>
    <row r="913" customFormat="false" ht="15" hidden="false" customHeight="false" outlineLevel="0" collapsed="false">
      <c r="A913" s="29"/>
      <c r="B913" s="29"/>
      <c r="C913" s="29"/>
      <c r="D913" s="29"/>
      <c r="E913" s="29"/>
      <c r="F913" s="29"/>
      <c r="G913" s="29"/>
      <c r="H913" s="29"/>
      <c r="I913" s="29"/>
    </row>
    <row r="914" customFormat="false" ht="15" hidden="false" customHeight="false" outlineLevel="0" collapsed="false">
      <c r="A914" s="29"/>
      <c r="B914" s="29"/>
      <c r="C914" s="29"/>
      <c r="D914" s="29"/>
      <c r="E914" s="29"/>
      <c r="F914" s="29"/>
      <c r="G914" s="29"/>
      <c r="H914" s="29"/>
      <c r="I914" s="29"/>
    </row>
    <row r="915" customFormat="false" ht="15" hidden="false" customHeight="false" outlineLevel="0" collapsed="false">
      <c r="A915" s="29"/>
      <c r="B915" s="29"/>
      <c r="C915" s="29"/>
      <c r="D915" s="29"/>
      <c r="E915" s="29"/>
      <c r="F915" s="29"/>
      <c r="G915" s="29"/>
      <c r="H915" s="29"/>
      <c r="I915" s="29"/>
    </row>
    <row r="916" customFormat="false" ht="15" hidden="false" customHeight="false" outlineLevel="0" collapsed="false">
      <c r="A916" s="29"/>
      <c r="B916" s="29"/>
      <c r="C916" s="29"/>
      <c r="D916" s="29"/>
      <c r="E916" s="29"/>
      <c r="F916" s="29"/>
      <c r="G916" s="29"/>
      <c r="H916" s="29"/>
      <c r="I916" s="29"/>
    </row>
    <row r="917" customFormat="false" ht="15" hidden="false" customHeight="false" outlineLevel="0" collapsed="false">
      <c r="A917" s="29"/>
      <c r="B917" s="29"/>
      <c r="C917" s="29"/>
      <c r="D917" s="29"/>
      <c r="E917" s="29"/>
      <c r="F917" s="29"/>
      <c r="G917" s="29"/>
      <c r="H917" s="29"/>
      <c r="I917" s="29"/>
    </row>
    <row r="918" customFormat="false" ht="15" hidden="false" customHeight="false" outlineLevel="0" collapsed="false">
      <c r="A918" s="29"/>
      <c r="B918" s="29"/>
      <c r="C918" s="29"/>
      <c r="D918" s="29"/>
      <c r="E918" s="29"/>
      <c r="F918" s="29"/>
      <c r="G918" s="29"/>
      <c r="H918" s="29"/>
      <c r="I918" s="29"/>
    </row>
    <row r="919" customFormat="false" ht="15" hidden="false" customHeight="false" outlineLevel="0" collapsed="false">
      <c r="A919" s="29"/>
      <c r="B919" s="29"/>
      <c r="C919" s="29"/>
      <c r="D919" s="29"/>
      <c r="E919" s="29"/>
      <c r="F919" s="29"/>
      <c r="G919" s="29"/>
      <c r="H919" s="29"/>
      <c r="I919" s="29"/>
    </row>
    <row r="920" customFormat="false" ht="15" hidden="false" customHeight="false" outlineLevel="0" collapsed="false">
      <c r="A920" s="29"/>
      <c r="B920" s="29"/>
      <c r="C920" s="29"/>
      <c r="D920" s="29"/>
      <c r="E920" s="29"/>
      <c r="F920" s="29"/>
      <c r="G920" s="29"/>
      <c r="H920" s="29"/>
      <c r="I920" s="29"/>
    </row>
    <row r="921" customFormat="false" ht="15" hidden="false" customHeight="false" outlineLevel="0" collapsed="false">
      <c r="A921" s="29"/>
      <c r="B921" s="29"/>
      <c r="C921" s="29"/>
      <c r="D921" s="29"/>
      <c r="E921" s="29"/>
      <c r="F921" s="29"/>
      <c r="G921" s="29"/>
      <c r="H921" s="29"/>
      <c r="I921" s="29"/>
    </row>
    <row r="922" customFormat="false" ht="15" hidden="false" customHeight="false" outlineLevel="0" collapsed="false">
      <c r="A922" s="29"/>
      <c r="B922" s="29"/>
      <c r="C922" s="29"/>
      <c r="D922" s="29"/>
      <c r="E922" s="29"/>
      <c r="F922" s="29"/>
      <c r="G922" s="29"/>
      <c r="H922" s="29"/>
      <c r="I922" s="29"/>
    </row>
    <row r="923" customFormat="false" ht="15" hidden="false" customHeight="false" outlineLevel="0" collapsed="false">
      <c r="A923" s="29"/>
      <c r="B923" s="29"/>
      <c r="C923" s="29"/>
      <c r="D923" s="29"/>
      <c r="E923" s="29"/>
      <c r="F923" s="29"/>
      <c r="G923" s="29"/>
      <c r="H923" s="29"/>
      <c r="I923" s="29"/>
    </row>
    <row r="924" customFormat="false" ht="15" hidden="false" customHeight="false" outlineLevel="0" collapsed="false">
      <c r="A924" s="29"/>
      <c r="B924" s="29"/>
      <c r="C924" s="29"/>
      <c r="D924" s="29"/>
      <c r="E924" s="29"/>
      <c r="F924" s="29"/>
      <c r="G924" s="29"/>
      <c r="H924" s="29"/>
      <c r="I924" s="29"/>
    </row>
    <row r="925" customFormat="false" ht="15" hidden="false" customHeight="false" outlineLevel="0" collapsed="false">
      <c r="A925" s="29"/>
      <c r="B925" s="29"/>
      <c r="C925" s="29"/>
      <c r="D925" s="29"/>
      <c r="E925" s="29"/>
      <c r="F925" s="29"/>
      <c r="G925" s="29"/>
      <c r="H925" s="29"/>
      <c r="I925" s="29"/>
    </row>
    <row r="926" customFormat="false" ht="15" hidden="false" customHeight="false" outlineLevel="0" collapsed="false">
      <c r="A926" s="29"/>
      <c r="B926" s="29"/>
      <c r="C926" s="29"/>
      <c r="D926" s="29"/>
      <c r="E926" s="29"/>
      <c r="F926" s="29"/>
      <c r="G926" s="29"/>
      <c r="H926" s="29"/>
      <c r="I926" s="29"/>
    </row>
    <row r="927" customFormat="false" ht="15" hidden="false" customHeight="false" outlineLevel="0" collapsed="false">
      <c r="A927" s="29"/>
      <c r="B927" s="29"/>
      <c r="C927" s="29"/>
      <c r="D927" s="29"/>
      <c r="E927" s="29"/>
      <c r="F927" s="29"/>
      <c r="G927" s="29"/>
      <c r="H927" s="29"/>
      <c r="I927" s="29"/>
    </row>
    <row r="928" customFormat="false" ht="15" hidden="false" customHeight="false" outlineLevel="0" collapsed="false">
      <c r="A928" s="29"/>
      <c r="B928" s="29"/>
      <c r="C928" s="29"/>
      <c r="D928" s="29"/>
      <c r="E928" s="29"/>
      <c r="F928" s="29"/>
      <c r="G928" s="29"/>
      <c r="H928" s="29"/>
      <c r="I928" s="29"/>
    </row>
    <row r="929" customFormat="false" ht="15" hidden="false" customHeight="false" outlineLevel="0" collapsed="false">
      <c r="A929" s="29"/>
      <c r="B929" s="29"/>
      <c r="C929" s="29"/>
      <c r="D929" s="29"/>
      <c r="E929" s="29"/>
      <c r="F929" s="29"/>
      <c r="G929" s="29"/>
      <c r="H929" s="29"/>
      <c r="I929" s="29"/>
    </row>
    <row r="930" customFormat="false" ht="15" hidden="false" customHeight="false" outlineLevel="0" collapsed="false">
      <c r="A930" s="29"/>
      <c r="B930" s="29"/>
      <c r="C930" s="29"/>
      <c r="D930" s="29"/>
      <c r="E930" s="29"/>
      <c r="F930" s="29"/>
      <c r="G930" s="29"/>
      <c r="H930" s="29"/>
      <c r="I930" s="29"/>
    </row>
    <row r="931" customFormat="false" ht="15" hidden="false" customHeight="false" outlineLevel="0" collapsed="false">
      <c r="A931" s="29"/>
      <c r="B931" s="29"/>
      <c r="C931" s="29"/>
      <c r="D931" s="29"/>
      <c r="E931" s="29"/>
      <c r="F931" s="29"/>
      <c r="G931" s="29"/>
      <c r="H931" s="29"/>
      <c r="I931" s="29"/>
    </row>
    <row r="932" customFormat="false" ht="15" hidden="false" customHeight="false" outlineLevel="0" collapsed="false">
      <c r="A932" s="29"/>
      <c r="B932" s="29"/>
      <c r="C932" s="29"/>
      <c r="D932" s="29"/>
      <c r="E932" s="29"/>
      <c r="F932" s="29"/>
      <c r="G932" s="29"/>
      <c r="H932" s="29"/>
      <c r="I932" s="29"/>
    </row>
    <row r="933" customFormat="false" ht="15" hidden="false" customHeight="false" outlineLevel="0" collapsed="false">
      <c r="A933" s="29"/>
      <c r="B933" s="29"/>
      <c r="C933" s="29"/>
      <c r="D933" s="29"/>
      <c r="E933" s="29"/>
      <c r="F933" s="29"/>
      <c r="G933" s="29"/>
      <c r="H933" s="29"/>
      <c r="I933" s="29"/>
    </row>
    <row r="934" customFormat="false" ht="15" hidden="false" customHeight="false" outlineLevel="0" collapsed="false">
      <c r="A934" s="29"/>
      <c r="B934" s="29"/>
      <c r="C934" s="29"/>
      <c r="D934" s="29"/>
      <c r="E934" s="29"/>
      <c r="F934" s="29"/>
      <c r="G934" s="29"/>
      <c r="H934" s="29"/>
      <c r="I934" s="29"/>
    </row>
    <row r="935" customFormat="false" ht="15" hidden="false" customHeight="false" outlineLevel="0" collapsed="false">
      <c r="A935" s="29"/>
      <c r="B935" s="29"/>
      <c r="C935" s="29"/>
      <c r="D935" s="29"/>
      <c r="E935" s="29"/>
      <c r="F935" s="29"/>
      <c r="G935" s="29"/>
      <c r="H935" s="29"/>
      <c r="I935" s="29"/>
    </row>
    <row r="936" customFormat="false" ht="15" hidden="false" customHeight="false" outlineLevel="0" collapsed="false">
      <c r="A936" s="29"/>
      <c r="B936" s="29"/>
      <c r="C936" s="29"/>
      <c r="D936" s="29"/>
      <c r="E936" s="29"/>
      <c r="F936" s="29"/>
      <c r="G936" s="29"/>
      <c r="H936" s="29"/>
      <c r="I936" s="29"/>
    </row>
    <row r="937" customFormat="false" ht="15" hidden="false" customHeight="false" outlineLevel="0" collapsed="false">
      <c r="A937" s="29"/>
      <c r="B937" s="29"/>
      <c r="C937" s="29"/>
      <c r="D937" s="29"/>
      <c r="E937" s="29"/>
      <c r="F937" s="29"/>
      <c r="G937" s="29"/>
      <c r="H937" s="29"/>
      <c r="I937" s="29"/>
    </row>
    <row r="938" customFormat="false" ht="15" hidden="false" customHeight="false" outlineLevel="0" collapsed="false">
      <c r="A938" s="29"/>
      <c r="B938" s="29"/>
      <c r="C938" s="29"/>
      <c r="D938" s="29"/>
      <c r="E938" s="29"/>
      <c r="F938" s="29"/>
      <c r="G938" s="29"/>
      <c r="H938" s="29"/>
      <c r="I938" s="29"/>
    </row>
    <row r="939" customFormat="false" ht="15" hidden="false" customHeight="false" outlineLevel="0" collapsed="false">
      <c r="A939" s="29"/>
      <c r="B939" s="29"/>
      <c r="C939" s="29"/>
      <c r="D939" s="29"/>
      <c r="E939" s="29"/>
      <c r="F939" s="29"/>
      <c r="G939" s="29"/>
      <c r="H939" s="29"/>
      <c r="I939" s="29"/>
    </row>
    <row r="940" customFormat="false" ht="15" hidden="false" customHeight="false" outlineLevel="0" collapsed="false">
      <c r="A940" s="29"/>
      <c r="B940" s="29"/>
      <c r="C940" s="29"/>
      <c r="D940" s="29"/>
      <c r="E940" s="29"/>
      <c r="F940" s="29"/>
      <c r="G940" s="29"/>
      <c r="H940" s="29"/>
      <c r="I940" s="29"/>
    </row>
    <row r="941" customFormat="false" ht="15" hidden="false" customHeight="false" outlineLevel="0" collapsed="false">
      <c r="A941" s="29"/>
      <c r="B941" s="29"/>
      <c r="C941" s="29"/>
      <c r="D941" s="29"/>
      <c r="E941" s="29"/>
      <c r="F941" s="29"/>
      <c r="G941" s="29"/>
      <c r="H941" s="29"/>
      <c r="I941" s="29"/>
    </row>
    <row r="942" customFormat="false" ht="15" hidden="false" customHeight="false" outlineLevel="0" collapsed="false">
      <c r="A942" s="29"/>
      <c r="B942" s="29"/>
      <c r="C942" s="29"/>
      <c r="D942" s="29"/>
      <c r="E942" s="29"/>
      <c r="F942" s="29"/>
      <c r="G942" s="29"/>
      <c r="H942" s="29"/>
      <c r="I942" s="29"/>
    </row>
    <row r="943" customFormat="false" ht="15" hidden="false" customHeight="false" outlineLevel="0" collapsed="false">
      <c r="A943" s="29"/>
      <c r="B943" s="29"/>
      <c r="C943" s="29"/>
      <c r="D943" s="29"/>
      <c r="E943" s="29"/>
      <c r="F943" s="29"/>
      <c r="G943" s="29"/>
      <c r="H943" s="29"/>
      <c r="I943" s="29"/>
    </row>
    <row r="944" customFormat="false" ht="15" hidden="false" customHeight="false" outlineLevel="0" collapsed="false">
      <c r="A944" s="29"/>
      <c r="B944" s="29"/>
      <c r="C944" s="29"/>
      <c r="D944" s="29"/>
      <c r="E944" s="29"/>
      <c r="F944" s="29"/>
      <c r="G944" s="29"/>
      <c r="H944" s="29"/>
      <c r="I944" s="29"/>
    </row>
    <row r="945" customFormat="false" ht="15" hidden="false" customHeight="false" outlineLevel="0" collapsed="false">
      <c r="A945" s="29"/>
      <c r="B945" s="29"/>
      <c r="C945" s="29"/>
      <c r="D945" s="29"/>
      <c r="E945" s="29"/>
      <c r="F945" s="29"/>
      <c r="G945" s="29"/>
      <c r="H945" s="29"/>
      <c r="I945" s="29"/>
    </row>
    <row r="946" customFormat="false" ht="15" hidden="false" customHeight="false" outlineLevel="0" collapsed="false">
      <c r="A946" s="29"/>
      <c r="B946" s="29"/>
      <c r="C946" s="29"/>
      <c r="D946" s="29"/>
      <c r="E946" s="29"/>
      <c r="F946" s="29"/>
      <c r="G946" s="29"/>
      <c r="H946" s="29"/>
      <c r="I946" s="29"/>
    </row>
    <row r="947" customFormat="false" ht="15" hidden="false" customHeight="false" outlineLevel="0" collapsed="false">
      <c r="A947" s="29"/>
      <c r="B947" s="29"/>
      <c r="C947" s="29"/>
      <c r="D947" s="29"/>
      <c r="E947" s="29"/>
      <c r="F947" s="29"/>
      <c r="G947" s="29"/>
      <c r="H947" s="29"/>
      <c r="I947" s="29"/>
    </row>
    <row r="948" customFormat="false" ht="15" hidden="false" customHeight="false" outlineLevel="0" collapsed="false">
      <c r="A948" s="29"/>
      <c r="B948" s="29"/>
      <c r="C948" s="29"/>
      <c r="D948" s="29"/>
      <c r="E948" s="29"/>
      <c r="F948" s="29"/>
      <c r="G948" s="29"/>
      <c r="H948" s="29"/>
      <c r="I948" s="29"/>
    </row>
    <row r="949" customFormat="false" ht="15" hidden="false" customHeight="false" outlineLevel="0" collapsed="false">
      <c r="A949" s="29"/>
      <c r="B949" s="29"/>
      <c r="C949" s="29"/>
      <c r="D949" s="29"/>
      <c r="E949" s="29"/>
      <c r="F949" s="29"/>
      <c r="G949" s="29"/>
      <c r="H949" s="29"/>
      <c r="I949" s="29"/>
    </row>
    <row r="950" customFormat="false" ht="15" hidden="false" customHeight="false" outlineLevel="0" collapsed="false">
      <c r="A950" s="29"/>
      <c r="B950" s="29"/>
      <c r="C950" s="29"/>
      <c r="D950" s="29"/>
      <c r="E950" s="29"/>
      <c r="F950" s="29"/>
      <c r="G950" s="29"/>
      <c r="H950" s="29"/>
      <c r="I950" s="29"/>
    </row>
    <row r="951" customFormat="false" ht="15" hidden="false" customHeight="false" outlineLevel="0" collapsed="false">
      <c r="A951" s="29"/>
      <c r="B951" s="29"/>
      <c r="C951" s="29"/>
      <c r="D951" s="29"/>
      <c r="E951" s="29"/>
      <c r="F951" s="29"/>
      <c r="G951" s="29"/>
      <c r="H951" s="29"/>
      <c r="I951" s="29"/>
    </row>
    <row r="952" customFormat="false" ht="15" hidden="false" customHeight="false" outlineLevel="0" collapsed="false">
      <c r="A952" s="29"/>
      <c r="B952" s="29"/>
      <c r="C952" s="29"/>
      <c r="D952" s="29"/>
      <c r="E952" s="29"/>
      <c r="F952" s="29"/>
      <c r="G952" s="29"/>
      <c r="H952" s="29"/>
      <c r="I952" s="29"/>
    </row>
    <row r="953" customFormat="false" ht="15" hidden="false" customHeight="false" outlineLevel="0" collapsed="false">
      <c r="A953" s="29"/>
      <c r="B953" s="29"/>
      <c r="C953" s="29"/>
      <c r="D953" s="29"/>
      <c r="E953" s="29"/>
      <c r="F953" s="29"/>
      <c r="G953" s="29"/>
      <c r="H953" s="29"/>
      <c r="I953" s="29"/>
    </row>
    <row r="954" customFormat="false" ht="15" hidden="false" customHeight="false" outlineLevel="0" collapsed="false">
      <c r="A954" s="29"/>
      <c r="B954" s="29"/>
      <c r="C954" s="29"/>
      <c r="D954" s="29"/>
      <c r="E954" s="29"/>
      <c r="F954" s="29"/>
      <c r="G954" s="29"/>
      <c r="H954" s="29"/>
      <c r="I954" s="29"/>
    </row>
    <row r="955" customFormat="false" ht="15" hidden="false" customHeight="false" outlineLevel="0" collapsed="false">
      <c r="A955" s="29"/>
      <c r="B955" s="29"/>
      <c r="C955" s="29"/>
      <c r="D955" s="29"/>
      <c r="E955" s="29"/>
      <c r="F955" s="29"/>
      <c r="G955" s="29"/>
      <c r="H955" s="29"/>
      <c r="I955" s="29"/>
    </row>
    <row r="956" customFormat="false" ht="15" hidden="false" customHeight="false" outlineLevel="0" collapsed="false">
      <c r="A956" s="29"/>
      <c r="B956" s="29"/>
      <c r="C956" s="29"/>
      <c r="D956" s="29"/>
      <c r="E956" s="29"/>
      <c r="F956" s="29"/>
      <c r="G956" s="29"/>
      <c r="H956" s="29"/>
      <c r="I956" s="29"/>
    </row>
    <row r="957" customFormat="false" ht="15" hidden="false" customHeight="false" outlineLevel="0" collapsed="false">
      <c r="A957" s="29"/>
      <c r="B957" s="29"/>
      <c r="C957" s="29"/>
      <c r="D957" s="29"/>
      <c r="E957" s="29"/>
      <c r="F957" s="29"/>
      <c r="G957" s="29"/>
      <c r="H957" s="29"/>
      <c r="I957" s="29"/>
    </row>
    <row r="958" customFormat="false" ht="15" hidden="false" customHeight="false" outlineLevel="0" collapsed="false">
      <c r="A958" s="29"/>
      <c r="B958" s="29"/>
      <c r="C958" s="29"/>
      <c r="D958" s="29"/>
      <c r="E958" s="29"/>
      <c r="F958" s="29"/>
      <c r="G958" s="29"/>
      <c r="H958" s="29"/>
      <c r="I958" s="29"/>
    </row>
    <row r="959" customFormat="false" ht="15" hidden="false" customHeight="false" outlineLevel="0" collapsed="false">
      <c r="A959" s="29"/>
      <c r="B959" s="29"/>
      <c r="C959" s="29"/>
      <c r="D959" s="29"/>
      <c r="E959" s="29"/>
      <c r="F959" s="29"/>
      <c r="G959" s="29"/>
      <c r="H959" s="29"/>
      <c r="I959" s="29"/>
    </row>
    <row r="960" customFormat="false" ht="15" hidden="false" customHeight="false" outlineLevel="0" collapsed="false">
      <c r="A960" s="29"/>
      <c r="B960" s="29"/>
      <c r="C960" s="29"/>
      <c r="D960" s="29"/>
      <c r="E960" s="29"/>
      <c r="F960" s="29"/>
      <c r="G960" s="29"/>
      <c r="H960" s="29"/>
      <c r="I960" s="29"/>
    </row>
    <row r="961" customFormat="false" ht="15" hidden="false" customHeight="false" outlineLevel="0" collapsed="false">
      <c r="A961" s="29"/>
      <c r="B961" s="29"/>
      <c r="C961" s="29"/>
      <c r="D961" s="29"/>
      <c r="E961" s="29"/>
      <c r="F961" s="29"/>
      <c r="G961" s="29"/>
      <c r="H961" s="29"/>
      <c r="I961" s="29"/>
    </row>
    <row r="962" customFormat="false" ht="15" hidden="false" customHeight="false" outlineLevel="0" collapsed="false">
      <c r="A962" s="29"/>
      <c r="B962" s="29"/>
      <c r="C962" s="29"/>
      <c r="D962" s="29"/>
      <c r="E962" s="29"/>
      <c r="F962" s="29"/>
      <c r="G962" s="29"/>
      <c r="H962" s="29"/>
      <c r="I962" s="29"/>
    </row>
    <row r="963" customFormat="false" ht="15" hidden="false" customHeight="false" outlineLevel="0" collapsed="false">
      <c r="A963" s="29"/>
      <c r="B963" s="29"/>
      <c r="C963" s="29"/>
      <c r="D963" s="29"/>
      <c r="E963" s="29"/>
      <c r="F963" s="29"/>
      <c r="G963" s="29"/>
      <c r="H963" s="29"/>
      <c r="I963" s="29"/>
    </row>
    <row r="964" customFormat="false" ht="15" hidden="false" customHeight="false" outlineLevel="0" collapsed="false">
      <c r="A964" s="29"/>
      <c r="B964" s="29"/>
      <c r="C964" s="29"/>
      <c r="D964" s="29"/>
      <c r="E964" s="29"/>
      <c r="F964" s="29"/>
      <c r="G964" s="29"/>
      <c r="H964" s="29"/>
      <c r="I964" s="29"/>
    </row>
    <row r="965" customFormat="false" ht="15" hidden="false" customHeight="false" outlineLevel="0" collapsed="false">
      <c r="A965" s="29"/>
      <c r="B965" s="29"/>
      <c r="C965" s="29"/>
      <c r="D965" s="29"/>
      <c r="E965" s="29"/>
      <c r="F965" s="29"/>
      <c r="G965" s="29"/>
      <c r="H965" s="29"/>
      <c r="I965" s="29"/>
    </row>
    <row r="966" customFormat="false" ht="15" hidden="false" customHeight="false" outlineLevel="0" collapsed="false">
      <c r="A966" s="29"/>
      <c r="B966" s="29"/>
      <c r="C966" s="29"/>
      <c r="D966" s="29"/>
      <c r="E966" s="29"/>
      <c r="F966" s="29"/>
      <c r="G966" s="29"/>
      <c r="H966" s="29"/>
      <c r="I966" s="29"/>
    </row>
    <row r="967" customFormat="false" ht="15" hidden="false" customHeight="false" outlineLevel="0" collapsed="false">
      <c r="A967" s="29"/>
      <c r="B967" s="29"/>
      <c r="C967" s="29"/>
      <c r="D967" s="29"/>
      <c r="E967" s="29"/>
      <c r="F967" s="29"/>
      <c r="G967" s="29"/>
      <c r="H967" s="29"/>
      <c r="I967" s="29"/>
    </row>
    <row r="968" customFormat="false" ht="15" hidden="false" customHeight="false" outlineLevel="0" collapsed="false">
      <c r="A968" s="29"/>
      <c r="B968" s="29"/>
      <c r="C968" s="29"/>
      <c r="D968" s="29"/>
      <c r="E968" s="29"/>
      <c r="F968" s="29"/>
      <c r="G968" s="29"/>
      <c r="H968" s="29"/>
      <c r="I968" s="29"/>
    </row>
    <row r="969" customFormat="false" ht="15" hidden="false" customHeight="false" outlineLevel="0" collapsed="false">
      <c r="A969" s="29"/>
      <c r="B969" s="29"/>
      <c r="C969" s="29"/>
      <c r="D969" s="29"/>
      <c r="E969" s="29"/>
      <c r="F969" s="29"/>
      <c r="G969" s="29"/>
      <c r="H969" s="29"/>
      <c r="I969" s="29"/>
    </row>
    <row r="970" customFormat="false" ht="15" hidden="false" customHeight="false" outlineLevel="0" collapsed="false">
      <c r="A970" s="29"/>
      <c r="B970" s="29"/>
      <c r="C970" s="29"/>
      <c r="D970" s="29"/>
      <c r="E970" s="29"/>
      <c r="F970" s="29"/>
      <c r="G970" s="29"/>
      <c r="H970" s="29"/>
      <c r="I970" s="29"/>
    </row>
    <row r="971" customFormat="false" ht="15" hidden="false" customHeight="false" outlineLevel="0" collapsed="false">
      <c r="A971" s="29"/>
      <c r="B971" s="29"/>
      <c r="C971" s="29"/>
      <c r="D971" s="29"/>
      <c r="E971" s="29"/>
      <c r="F971" s="29"/>
      <c r="G971" s="29"/>
      <c r="H971" s="29"/>
      <c r="I971" s="29"/>
    </row>
    <row r="972" customFormat="false" ht="15" hidden="false" customHeight="false" outlineLevel="0" collapsed="false">
      <c r="A972" s="29"/>
      <c r="B972" s="29"/>
      <c r="C972" s="29"/>
      <c r="D972" s="29"/>
      <c r="E972" s="29"/>
      <c r="F972" s="29"/>
      <c r="G972" s="29"/>
      <c r="H972" s="29"/>
      <c r="I972" s="29"/>
    </row>
    <row r="973" customFormat="false" ht="15" hidden="false" customHeight="false" outlineLevel="0" collapsed="false">
      <c r="A973" s="29"/>
      <c r="B973" s="29"/>
      <c r="C973" s="29"/>
      <c r="D973" s="29"/>
      <c r="E973" s="29"/>
      <c r="F973" s="29"/>
      <c r="G973" s="29"/>
      <c r="H973" s="29"/>
      <c r="I973" s="29"/>
    </row>
    <row r="974" customFormat="false" ht="15" hidden="false" customHeight="false" outlineLevel="0" collapsed="false">
      <c r="A974" s="29"/>
      <c r="B974" s="29"/>
      <c r="C974" s="29"/>
      <c r="D974" s="29"/>
      <c r="E974" s="29"/>
      <c r="F974" s="29"/>
      <c r="G974" s="29"/>
      <c r="H974" s="29"/>
      <c r="I974" s="29"/>
    </row>
    <row r="975" customFormat="false" ht="15" hidden="false" customHeight="false" outlineLevel="0" collapsed="false">
      <c r="A975" s="29"/>
      <c r="B975" s="29"/>
      <c r="C975" s="29"/>
      <c r="D975" s="29"/>
      <c r="E975" s="29"/>
      <c r="F975" s="29"/>
      <c r="G975" s="29"/>
      <c r="H975" s="29"/>
      <c r="I975" s="29"/>
    </row>
    <row r="976" customFormat="false" ht="15" hidden="false" customHeight="false" outlineLevel="0" collapsed="false">
      <c r="A976" s="29"/>
      <c r="B976" s="29"/>
      <c r="C976" s="29"/>
      <c r="D976" s="29"/>
      <c r="E976" s="29"/>
      <c r="F976" s="29"/>
      <c r="G976" s="29"/>
      <c r="H976" s="29"/>
      <c r="I976" s="29"/>
    </row>
    <row r="977" customFormat="false" ht="15" hidden="false" customHeight="false" outlineLevel="0" collapsed="false">
      <c r="A977" s="29"/>
      <c r="B977" s="29"/>
      <c r="C977" s="29"/>
      <c r="D977" s="29"/>
      <c r="E977" s="29"/>
      <c r="F977" s="29"/>
      <c r="G977" s="29"/>
      <c r="H977" s="29"/>
      <c r="I977" s="29"/>
    </row>
    <row r="978" customFormat="false" ht="15" hidden="false" customHeight="false" outlineLevel="0" collapsed="false">
      <c r="A978" s="29"/>
      <c r="B978" s="29"/>
      <c r="C978" s="29"/>
      <c r="D978" s="29"/>
      <c r="E978" s="29"/>
      <c r="F978" s="29"/>
      <c r="G978" s="29"/>
      <c r="H978" s="29"/>
      <c r="I978" s="29"/>
    </row>
    <row r="979" customFormat="false" ht="15" hidden="false" customHeight="false" outlineLevel="0" collapsed="false">
      <c r="A979" s="29"/>
      <c r="B979" s="29"/>
      <c r="C979" s="29"/>
      <c r="D979" s="29"/>
      <c r="E979" s="29"/>
      <c r="F979" s="29"/>
      <c r="G979" s="29"/>
      <c r="H979" s="29"/>
      <c r="I979" s="29"/>
    </row>
    <row r="980" customFormat="false" ht="15" hidden="false" customHeight="false" outlineLevel="0" collapsed="false">
      <c r="A980" s="29"/>
      <c r="B980" s="29"/>
      <c r="C980" s="29"/>
      <c r="D980" s="29"/>
      <c r="E980" s="29"/>
      <c r="F980" s="29"/>
      <c r="G980" s="29"/>
      <c r="H980" s="29"/>
      <c r="I980" s="29"/>
    </row>
    <row r="981" customFormat="false" ht="15" hidden="false" customHeight="false" outlineLevel="0" collapsed="false">
      <c r="A981" s="29"/>
      <c r="B981" s="29"/>
      <c r="C981" s="29"/>
      <c r="D981" s="29"/>
      <c r="E981" s="29"/>
      <c r="F981" s="29"/>
      <c r="G981" s="29"/>
      <c r="H981" s="29"/>
      <c r="I981" s="29"/>
    </row>
    <row r="982" customFormat="false" ht="15" hidden="false" customHeight="false" outlineLevel="0" collapsed="false">
      <c r="A982" s="29"/>
      <c r="B982" s="29"/>
      <c r="C982" s="29"/>
      <c r="D982" s="29"/>
      <c r="E982" s="29"/>
      <c r="F982" s="29"/>
      <c r="G982" s="29"/>
      <c r="H982" s="29"/>
      <c r="I982" s="29"/>
    </row>
    <row r="983" customFormat="false" ht="15" hidden="false" customHeight="false" outlineLevel="0" collapsed="false">
      <c r="A983" s="29"/>
      <c r="B983" s="29"/>
      <c r="C983" s="29"/>
      <c r="D983" s="29"/>
      <c r="E983" s="29"/>
      <c r="F983" s="29"/>
      <c r="G983" s="29"/>
      <c r="H983" s="29"/>
      <c r="I983" s="29"/>
    </row>
    <row r="984" customFormat="false" ht="15" hidden="false" customHeight="false" outlineLevel="0" collapsed="false">
      <c r="A984" s="29"/>
      <c r="B984" s="29"/>
      <c r="C984" s="29"/>
      <c r="D984" s="29"/>
      <c r="E984" s="29"/>
      <c r="F984" s="29"/>
      <c r="G984" s="29"/>
      <c r="H984" s="29"/>
      <c r="I984" s="29"/>
    </row>
    <row r="985" customFormat="false" ht="15" hidden="false" customHeight="false" outlineLevel="0" collapsed="false">
      <c r="A985" s="29"/>
      <c r="B985" s="29"/>
      <c r="C985" s="29"/>
      <c r="D985" s="29"/>
      <c r="E985" s="29"/>
      <c r="F985" s="29"/>
      <c r="G985" s="29"/>
      <c r="H985" s="29"/>
      <c r="I985" s="29"/>
    </row>
    <row r="986" customFormat="false" ht="15" hidden="false" customHeight="false" outlineLevel="0" collapsed="false">
      <c r="A986" s="29"/>
      <c r="B986" s="29"/>
      <c r="C986" s="29"/>
      <c r="D986" s="29"/>
      <c r="E986" s="29"/>
      <c r="F986" s="29"/>
      <c r="G986" s="29"/>
      <c r="H986" s="29"/>
      <c r="I986" s="29"/>
    </row>
    <row r="987" customFormat="false" ht="15" hidden="false" customHeight="false" outlineLevel="0" collapsed="false">
      <c r="A987" s="29"/>
      <c r="B987" s="29"/>
      <c r="C987" s="29"/>
      <c r="D987" s="29"/>
      <c r="E987" s="29"/>
      <c r="F987" s="29"/>
      <c r="G987" s="29"/>
      <c r="H987" s="29"/>
      <c r="I987" s="29"/>
    </row>
    <row r="988" customFormat="false" ht="15" hidden="false" customHeight="false" outlineLevel="0" collapsed="false">
      <c r="A988" s="29"/>
      <c r="B988" s="29"/>
      <c r="C988" s="29"/>
      <c r="D988" s="29"/>
      <c r="E988" s="29"/>
      <c r="F988" s="29"/>
      <c r="G988" s="29"/>
      <c r="H988" s="29"/>
      <c r="I988" s="29"/>
    </row>
    <row r="989" customFormat="false" ht="15" hidden="false" customHeight="false" outlineLevel="0" collapsed="false">
      <c r="A989" s="29"/>
      <c r="B989" s="29"/>
      <c r="C989" s="29"/>
      <c r="D989" s="29"/>
      <c r="E989" s="29"/>
      <c r="F989" s="29"/>
      <c r="G989" s="29"/>
      <c r="H989" s="29"/>
      <c r="I989" s="29"/>
    </row>
    <row r="990" customFormat="false" ht="15" hidden="false" customHeight="false" outlineLevel="0" collapsed="false">
      <c r="A990" s="29"/>
      <c r="B990" s="29"/>
      <c r="C990" s="29"/>
      <c r="D990" s="29"/>
      <c r="E990" s="29"/>
      <c r="F990" s="29"/>
      <c r="G990" s="29"/>
      <c r="H990" s="29"/>
      <c r="I990" s="29"/>
    </row>
    <row r="991" customFormat="false" ht="15" hidden="false" customHeight="false" outlineLevel="0" collapsed="false">
      <c r="A991" s="29"/>
      <c r="B991" s="29"/>
      <c r="C991" s="29"/>
      <c r="D991" s="29"/>
      <c r="E991" s="29"/>
      <c r="F991" s="29"/>
      <c r="G991" s="29"/>
      <c r="H991" s="29"/>
      <c r="I991" s="29"/>
    </row>
    <row r="992" customFormat="false" ht="15" hidden="false" customHeight="false" outlineLevel="0" collapsed="false">
      <c r="A992" s="29"/>
      <c r="B992" s="29"/>
      <c r="C992" s="29"/>
      <c r="D992" s="29"/>
      <c r="E992" s="29"/>
      <c r="F992" s="29"/>
      <c r="G992" s="29"/>
      <c r="H992" s="29"/>
      <c r="I992" s="29"/>
    </row>
    <row r="993" customFormat="false" ht="15" hidden="false" customHeight="false" outlineLevel="0" collapsed="false">
      <c r="A993" s="29"/>
      <c r="B993" s="29"/>
      <c r="C993" s="29"/>
      <c r="D993" s="29"/>
      <c r="E993" s="29"/>
      <c r="F993" s="29"/>
      <c r="G993" s="29"/>
      <c r="H993" s="29"/>
      <c r="I993" s="29"/>
    </row>
    <row r="994" customFormat="false" ht="15" hidden="false" customHeight="false" outlineLevel="0" collapsed="false">
      <c r="A994" s="29"/>
      <c r="B994" s="29"/>
      <c r="C994" s="29"/>
      <c r="D994" s="29"/>
      <c r="E994" s="29"/>
      <c r="F994" s="29"/>
      <c r="G994" s="29"/>
      <c r="H994" s="29"/>
      <c r="I994" s="29"/>
    </row>
    <row r="995" customFormat="false" ht="15" hidden="false" customHeight="false" outlineLevel="0" collapsed="false">
      <c r="A995" s="29"/>
      <c r="B995" s="29"/>
      <c r="C995" s="29"/>
      <c r="D995" s="29"/>
      <c r="E995" s="29"/>
      <c r="F995" s="29"/>
      <c r="G995" s="29"/>
      <c r="H995" s="29"/>
      <c r="I995" s="29"/>
    </row>
    <row r="996" customFormat="false" ht="15" hidden="false" customHeight="false" outlineLevel="0" collapsed="false">
      <c r="A996" s="29"/>
      <c r="B996" s="29"/>
      <c r="C996" s="29"/>
      <c r="D996" s="29"/>
      <c r="E996" s="29"/>
      <c r="F996" s="29"/>
      <c r="G996" s="29"/>
      <c r="H996" s="29"/>
      <c r="I996" s="29"/>
    </row>
    <row r="997" customFormat="false" ht="15" hidden="false" customHeight="false" outlineLevel="0" collapsed="false">
      <c r="A997" s="29"/>
      <c r="B997" s="29"/>
      <c r="C997" s="29"/>
      <c r="D997" s="29"/>
      <c r="E997" s="29"/>
      <c r="F997" s="29"/>
      <c r="G997" s="29"/>
      <c r="H997" s="29"/>
      <c r="I997" s="29"/>
    </row>
    <row r="998" customFormat="false" ht="15" hidden="false" customHeight="false" outlineLevel="0" collapsed="false">
      <c r="A998" s="29"/>
      <c r="B998" s="29"/>
      <c r="C998" s="29"/>
      <c r="D998" s="29"/>
      <c r="E998" s="29"/>
      <c r="F998" s="29"/>
      <c r="G998" s="29"/>
      <c r="H998" s="29"/>
      <c r="I998" s="29"/>
    </row>
    <row r="999" customFormat="false" ht="15" hidden="false" customHeight="false" outlineLevel="0" collapsed="false">
      <c r="A999" s="29"/>
      <c r="B999" s="29"/>
      <c r="C999" s="29"/>
      <c r="D999" s="29"/>
      <c r="E999" s="29"/>
      <c r="F999" s="29"/>
      <c r="G999" s="29"/>
      <c r="H999" s="29"/>
      <c r="I999" s="29"/>
    </row>
    <row r="1000" customFormat="false" ht="15" hidden="false" customHeight="false" outlineLevel="0" collapsed="false">
      <c r="A1000" s="29"/>
      <c r="B1000" s="29"/>
      <c r="C1000" s="29"/>
      <c r="D1000" s="29"/>
      <c r="E1000" s="29"/>
      <c r="F1000" s="29"/>
      <c r="G1000" s="29"/>
      <c r="H1000" s="29"/>
      <c r="I1000" s="2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2026-04-22T19:05:26Z</dcterms:created>
  <dc:creator>yamil amarillo</dc:creator>
  <dc:description/>
  <dc:language>es-AR</dc:language>
  <cp:lastModifiedBy/>
  <dcterms:modified xsi:type="dcterms:W3CDTF">2026-04-25T15:33:12Z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